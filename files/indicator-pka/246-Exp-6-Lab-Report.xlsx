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NOV B\"/>
    </mc:Choice>
  </mc:AlternateContent>
  <xr:revisionPtr revIDLastSave="0" documentId="13_ncr:1_{6555495D-0840-4111-93BB-182195B4BB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uret Graphs" sheetId="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F6" i="4" s="1"/>
  <c r="B6" i="4"/>
  <c r="C5" i="4"/>
  <c r="B5" i="4"/>
  <c r="E5" i="4" s="1"/>
  <c r="H5" i="4" s="1"/>
  <c r="E4" i="4"/>
  <c r="C4" i="4"/>
  <c r="F5" i="4" s="1"/>
  <c r="B4" i="4"/>
  <c r="C3" i="4"/>
  <c r="F3" i="4" s="1"/>
  <c r="B3" i="4"/>
  <c r="C2" i="4"/>
  <c r="B2" i="4"/>
  <c r="E3" i="4" s="1"/>
  <c r="H4" i="4" l="1"/>
  <c r="I6" i="4"/>
  <c r="E6" i="4"/>
  <c r="H6" i="4" s="1"/>
  <c r="F4" i="4"/>
  <c r="I4" i="4" s="1"/>
  <c r="I5" i="4" l="1"/>
</calcChain>
</file>

<file path=xl/sharedStrings.xml><?xml version="1.0" encoding="utf-8"?>
<sst xmlns="http://schemas.openxmlformats.org/spreadsheetml/2006/main" count="7" uniqueCount="7">
  <si>
    <t>HOAc_Vf (mL)</t>
  </si>
  <si>
    <t>NaOAc_Vf (mL)</t>
  </si>
  <si>
    <t>Index</t>
  </si>
  <si>
    <t>ΔHOAc_Vf</t>
  </si>
  <si>
    <t>ΔNaOAc_Vf</t>
  </si>
  <si>
    <t>Δ²HOAc_Vf</t>
  </si>
  <si>
    <t>Δ²NaOAc_Vf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</si>
</sst>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Buret Readings (Vf)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HOAc Vf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'Buret Graphs'!$B$2:$B$6</c:f>
              <c:numCache>
                <c:formatCode>General</c:formatCode>
                <c:ptCount val="5"/>
                <c:pt idx="0">
                  <c:v>33.19</c:v>
                </c:pt>
                <c:pt idx="1">
                  <c:v>27.31</c:v>
                </c:pt>
                <c:pt idx="2">
                  <c:v>39.89</c:v>
                </c:pt>
                <c:pt idx="3">
                  <c:v>45.88</c:v>
                </c:pt>
                <c:pt idx="4">
                  <c:v>47.85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5-41C9-BB9B-0B2376C33734}"/>
            </c:ext>
          </c:extLst>
        </c:ser>
        <c:ser>
          <c:idx val="1"/>
          <c:order val="1"/>
          <c:tx>
            <c:v>NaOAc Vf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'Buret Graphs'!$C$2:$C$6</c:f>
              <c:numCache>
                <c:formatCode>General</c:formatCode>
                <c:ptCount val="5"/>
                <c:pt idx="0">
                  <c:v>26.61</c:v>
                </c:pt>
                <c:pt idx="1">
                  <c:v>33.04</c:v>
                </c:pt>
                <c:pt idx="2">
                  <c:v>45.82</c:v>
                </c:pt>
                <c:pt idx="3">
                  <c:v>37.53</c:v>
                </c:pt>
                <c:pt idx="4">
                  <c:v>38.299999999999997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5-41C9-BB9B-0B2376C33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First Derivative (</a:t>
            </a:r>
            <a:r>
              <a:rPr lang="el-GR"/>
              <a:t>Δ</a:t>
            </a:r>
            <a:r>
              <a:rPr lang="en-US"/>
              <a:t>V per step)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ΔHOAc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Graphs'!$A$3:$A$6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'Buret Graphs'!$E$3:$E$6</c:f>
              <c:numCache>
                <c:formatCode>General</c:formatCode>
                <c:ptCount val="4"/>
                <c:pt idx="0">
                  <c:v>-5.879999999999999</c:v>
                </c:pt>
                <c:pt idx="1">
                  <c:v>12.580000000000002</c:v>
                </c:pt>
                <c:pt idx="2">
                  <c:v>5.990000000000002</c:v>
                </c:pt>
                <c:pt idx="3">
                  <c:v>1.9699999999999989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3-4D21-A2D9-BF965BDF5689}"/>
            </c:ext>
          </c:extLst>
        </c:ser>
        <c:ser>
          <c:idx val="1"/>
          <c:order val="1"/>
          <c:tx>
            <c:v>ΔNaOAc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Graphs'!$A$3:$A$6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'Buret Graphs'!$F$3:$F$6</c:f>
              <c:numCache>
                <c:formatCode>General</c:formatCode>
                <c:ptCount val="4"/>
                <c:pt idx="0">
                  <c:v>6.43</c:v>
                </c:pt>
                <c:pt idx="1">
                  <c:v>12.780000000000001</c:v>
                </c:pt>
                <c:pt idx="2">
                  <c:v>-8.2899999999999991</c:v>
                </c:pt>
                <c:pt idx="3">
                  <c:v>0.76999999999999602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3-4D21-A2D9-BF965BDF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V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 Derivative (</a:t>
            </a:r>
            <a:r>
              <a:rPr lang="el-GR"/>
              <a:t>Δ²</a:t>
            </a:r>
            <a:r>
              <a:rPr lang="en-US"/>
              <a:t>V per step²)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Δ²HOAc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Graphs'!$A$4:$A$6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xVal>
          <c:yVal>
            <c:numRef>
              <c:f>'Buret Graphs'!$H$4:$H$6</c:f>
              <c:numCache>
                <c:formatCode>General</c:formatCode>
                <c:ptCount val="3"/>
                <c:pt idx="0">
                  <c:v>18.46</c:v>
                </c:pt>
                <c:pt idx="1">
                  <c:v>-6.59</c:v>
                </c:pt>
                <c:pt idx="2">
                  <c:v>-4.0200000000000031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F-4C1B-8561-EB0D2D3D71CE}"/>
            </c:ext>
          </c:extLst>
        </c:ser>
        <c:ser>
          <c:idx val="1"/>
          <c:order val="1"/>
          <c:tx>
            <c:v>Δ²NaOAc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'Buret Graphs'!$A$4:$A$6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xVal>
          <c:yVal>
            <c:numRef>
              <c:f>'Buret Graphs'!$I$4:$I$6</c:f>
              <c:numCache>
                <c:formatCode>General</c:formatCode>
                <c:ptCount val="3"/>
                <c:pt idx="0">
                  <c:v>6.3500000000000014</c:v>
                </c:pt>
                <c:pt idx="1">
                  <c:v>-21.07</c:v>
                </c:pt>
                <c:pt idx="2">
                  <c:v>9.0599999999999952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DF-4C1B-8561-EB0D2D3D7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Δ²</a:t>
                </a:r>
                <a:r>
                  <a:rPr lang="en-US"/>
                  <a:t>V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Experiment6_Excel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Buffers &amp; pH"/>
      <sheetName val="Ratio &amp; Fit"/>
      <sheetName val="Charts"/>
    </sheetNames>
    <sheetDataSet>
      <sheetData sheetId="0"/>
      <sheetData sheetId="1">
        <row r="2">
          <cell r="C2">
            <v>33.19</v>
          </cell>
          <cell r="F2">
            <v>26.61</v>
          </cell>
        </row>
        <row r="3">
          <cell r="C3">
            <v>27.31</v>
          </cell>
          <cell r="F3">
            <v>33.04</v>
          </cell>
        </row>
        <row r="4">
          <cell r="C4">
            <v>39.89</v>
          </cell>
          <cell r="F4">
            <v>45.82</v>
          </cell>
        </row>
        <row r="5">
          <cell r="C5">
            <v>45.88</v>
          </cell>
          <cell r="F5">
            <v>37.53</v>
          </cell>
        </row>
        <row r="6">
          <cell r="C6">
            <v>47.85</v>
          </cell>
          <cell r="F6">
            <v>38.299999999999997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abSelected="1" workbookViewId="0">
      <selection activeCell="G13" sqref="G13"/>
    </sheetView>
  </sheetViews>
  <sheetFormatPr defaultRowHeight="14.5" x14ac:dyDescent="0.35"/>
  <cols>
    <col min="1" max="9" width="16" customWidth="1"/>
  </cols>
  <sheetData>
    <row r="1" spans="1:9" x14ac:dyDescent="0.35">
      <c r="A1" s="1" t="s">
        <v>2</v>
      </c>
      <c r="B1" s="1" t="s">
        <v>0</v>
      </c>
      <c r="C1" s="1" t="s">
        <v>1</v>
      </c>
      <c r="E1" t="s">
        <v>3</v>
      </c>
      <c r="F1" t="s">
        <v>4</v>
      </c>
      <c r="H1" t="s">
        <v>5</v>
      </c>
      <c r="I1" t="s">
        <v>6</v>
      </c>
    </row>
    <row r="2" spans="1:9" x14ac:dyDescent="0.35">
      <c r="A2">
        <v>1</v>
      </c>
      <c r="B2">
        <f>'[1]Buffers &amp; pH'!C2</f>
        <v>33.19</v>
      </c>
      <c r="C2">
        <f>'[1]Buffers &amp; pH'!F2</f>
        <v>26.61</v>
      </c>
    </row>
    <row r="3" spans="1:9" x14ac:dyDescent="0.35">
      <c r="A3">
        <v>2</v>
      </c>
      <c r="B3">
        <f>'[1]Buffers &amp; pH'!C3</f>
        <v>27.31</v>
      </c>
      <c r="C3">
        <f>'[1]Buffers &amp; pH'!F3</f>
        <v>33.04</v>
      </c>
      <c r="E3">
        <f t="shared" ref="E3:F6" si="0">B3-B2</f>
        <v>-5.879999999999999</v>
      </c>
      <c r="F3">
        <f t="shared" si="0"/>
        <v>6.43</v>
      </c>
    </row>
    <row r="4" spans="1:9" x14ac:dyDescent="0.35">
      <c r="A4">
        <v>3</v>
      </c>
      <c r="B4">
        <f>'[1]Buffers &amp; pH'!C4</f>
        <v>39.89</v>
      </c>
      <c r="C4">
        <f>'[1]Buffers &amp; pH'!F4</f>
        <v>45.82</v>
      </c>
      <c r="E4">
        <f t="shared" si="0"/>
        <v>12.580000000000002</v>
      </c>
      <c r="F4">
        <f t="shared" si="0"/>
        <v>12.780000000000001</v>
      </c>
      <c r="H4">
        <f t="shared" ref="H4:I6" si="1">E4-E3</f>
        <v>18.46</v>
      </c>
      <c r="I4">
        <f t="shared" si="1"/>
        <v>6.3500000000000014</v>
      </c>
    </row>
    <row r="5" spans="1:9" x14ac:dyDescent="0.35">
      <c r="A5">
        <v>4</v>
      </c>
      <c r="B5">
        <f>'[1]Buffers &amp; pH'!C5</f>
        <v>45.88</v>
      </c>
      <c r="C5">
        <f>'[1]Buffers &amp; pH'!F5</f>
        <v>37.53</v>
      </c>
      <c r="E5">
        <f t="shared" si="0"/>
        <v>5.990000000000002</v>
      </c>
      <c r="F5">
        <f t="shared" si="0"/>
        <v>-8.2899999999999991</v>
      </c>
      <c r="H5">
        <f t="shared" si="1"/>
        <v>-6.59</v>
      </c>
      <c r="I5">
        <f t="shared" si="1"/>
        <v>-21.07</v>
      </c>
    </row>
    <row r="6" spans="1:9" x14ac:dyDescent="0.35">
      <c r="A6">
        <v>5</v>
      </c>
      <c r="B6">
        <f>'[1]Buffers &amp; pH'!C6</f>
        <v>47.85</v>
      </c>
      <c r="C6">
        <f>'[1]Buffers &amp; pH'!F6</f>
        <v>38.299999999999997</v>
      </c>
      <c r="E6">
        <f t="shared" si="0"/>
        <v>1.9699999999999989</v>
      </c>
      <c r="F6">
        <f t="shared" si="0"/>
        <v>0.76999999999999602</v>
      </c>
      <c r="H6">
        <f t="shared" si="1"/>
        <v>-4.0200000000000031</v>
      </c>
      <c r="I6">
        <f t="shared" si="1"/>
        <v>9.0599999999999952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Buret 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2025-11-22T22:13:25Z</dcterms:created>
  <dcterms:modified xsi:type="dcterms:W3CDTF">2025-11-22T22:13:25Z</dcterms:modified>
</cp:coreProperties>
</file>