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ao\Documents\Lab 1\"/>
    </mc:Choice>
  </mc:AlternateContent>
  <xr:revisionPtr revIDLastSave="0" documentId="13_ncr:1_{5AF92C41-2488-4AE8-A7C2-D03BA0A163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ab1_Calcul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P8" i="1" s="1"/>
  <c r="G2" i="1"/>
  <c r="F11" i="1"/>
  <c r="E12" i="1"/>
  <c r="E11" i="1"/>
  <c r="D12" i="1"/>
  <c r="I12" i="1" s="1"/>
  <c r="J12" i="1" s="1"/>
  <c r="D11" i="1"/>
  <c r="I11" i="1" s="1"/>
  <c r="J11" i="1" s="1"/>
  <c r="K7" i="1"/>
  <c r="K6" i="1"/>
  <c r="K5" i="1"/>
  <c r="K4" i="1"/>
  <c r="K3" i="1"/>
  <c r="K2" i="1"/>
  <c r="J6" i="1"/>
  <c r="J5" i="1"/>
  <c r="J4" i="1"/>
  <c r="J3" i="1"/>
  <c r="J2" i="1"/>
  <c r="I7" i="1"/>
  <c r="I6" i="1"/>
  <c r="I4" i="1"/>
  <c r="I3" i="1"/>
  <c r="I2" i="1"/>
  <c r="H6" i="1"/>
  <c r="H5" i="1"/>
  <c r="H4" i="1"/>
  <c r="H3" i="1"/>
  <c r="H2" i="1"/>
  <c r="G6" i="1"/>
  <c r="G7" i="1"/>
  <c r="L7" i="1" s="1"/>
  <c r="G5" i="1"/>
  <c r="G4" i="1"/>
  <c r="G3" i="1"/>
  <c r="L3" i="1"/>
  <c r="M5" i="1"/>
  <c r="P5" i="1" s="1"/>
  <c r="N4" i="1"/>
  <c r="N5" i="1"/>
  <c r="N7" i="1"/>
  <c r="M4" i="1"/>
  <c r="P4" i="1" s="1"/>
  <c r="L4" i="1"/>
  <c r="L5" i="1"/>
  <c r="L8" i="1"/>
  <c r="C19" i="1"/>
  <c r="B19" i="1"/>
  <c r="B18" i="1"/>
  <c r="C18" i="1" s="1"/>
  <c r="N8" i="1"/>
  <c r="M6" i="1" l="1"/>
  <c r="P6" i="1" s="1"/>
  <c r="N6" i="1"/>
  <c r="L6" i="1"/>
  <c r="M7" i="1"/>
  <c r="P7" i="1" s="1"/>
  <c r="M3" i="1"/>
  <c r="P3" i="1" s="1"/>
  <c r="N3" i="1"/>
  <c r="F12" i="1"/>
  <c r="H11" i="1"/>
  <c r="H12" i="1"/>
  <c r="N2" i="1"/>
  <c r="L2" i="1"/>
  <c r="M2" i="1" l="1"/>
  <c r="P2" i="1" s="1"/>
</calcChain>
</file>

<file path=xl/sharedStrings.xml><?xml version="1.0" encoding="utf-8"?>
<sst xmlns="http://schemas.openxmlformats.org/spreadsheetml/2006/main" count="38" uniqueCount="33">
  <si>
    <t>Sample</t>
  </si>
  <si>
    <t>Raw Abs1</t>
  </si>
  <si>
    <t>Raw Abs2</t>
  </si>
  <si>
    <t>Raw Abs3</t>
  </si>
  <si>
    <t>Raw Abs4</t>
  </si>
  <si>
    <t>Raw Abs5</t>
  </si>
  <si>
    <t>Background</t>
  </si>
  <si>
    <t>SD</t>
  </si>
  <si>
    <t>RSD%</t>
  </si>
  <si>
    <t>Uncertanty</t>
  </si>
  <si>
    <t>Type</t>
  </si>
  <si>
    <t>Flask</t>
  </si>
  <si>
    <t>Beaker</t>
  </si>
  <si>
    <t xml:space="preserve"> Sample Size</t>
  </si>
  <si>
    <t>Mean</t>
  </si>
  <si>
    <t>Sample Size</t>
  </si>
  <si>
    <t>Absolute Error</t>
  </si>
  <si>
    <t>% Error</t>
  </si>
  <si>
    <t>Pippet</t>
  </si>
  <si>
    <t>.</t>
  </si>
  <si>
    <t>Measurment (mL)</t>
  </si>
  <si>
    <t>Expected Concentraion</t>
  </si>
  <si>
    <t>Relative Uncertainty</t>
  </si>
  <si>
    <t>Absolute Uncertainty</t>
  </si>
  <si>
    <t>Corrected Abs1</t>
  </si>
  <si>
    <t>Corrected Abs2</t>
  </si>
  <si>
    <t>Corrected Abs3</t>
  </si>
  <si>
    <t>Corrected Abs4</t>
  </si>
  <si>
    <t>Corrected Abs5</t>
  </si>
  <si>
    <t xml:space="preserve">Corrected Average </t>
  </si>
  <si>
    <t>95% CI</t>
  </si>
  <si>
    <t>concentration -10</t>
  </si>
  <si>
    <t>table 1 and table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</si>
</sst>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topLeftCell="B1" zoomScale="73" workbookViewId="0">
      <selection activeCell="F20" sqref="F20"/>
    </sheetView>
  </sheetViews>
  <sheetFormatPr defaultRowHeight="14.5" x14ac:dyDescent="0.35"/>
  <cols>
    <col min="1" max="1" width="20.54296875" customWidth="1"/>
    <col min="2" max="3" width="18.6328125" customWidth="1"/>
    <col min="7" max="7" width="14" customWidth="1"/>
    <col min="8" max="8" width="13.36328125" customWidth="1"/>
    <col min="9" max="9" width="14.54296875" customWidth="1"/>
    <col min="10" max="10" width="14.90625" customWidth="1"/>
    <col min="11" max="11" width="21.453125" customWidth="1"/>
    <col min="12" max="12" width="21.81640625" customWidth="1"/>
    <col min="15" max="15" width="12.542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7</v>
      </c>
      <c r="N1" t="s">
        <v>8</v>
      </c>
      <c r="O1" t="s">
        <v>13</v>
      </c>
      <c r="P1" t="s">
        <v>30</v>
      </c>
    </row>
    <row r="2" spans="1:16" x14ac:dyDescent="0.35">
      <c r="A2">
        <v>1</v>
      </c>
      <c r="B2">
        <v>0.94799999999999995</v>
      </c>
      <c r="C2">
        <v>0.94899999999999995</v>
      </c>
      <c r="D2">
        <v>0.95199999999999996</v>
      </c>
      <c r="E2">
        <v>0.96199999999999997</v>
      </c>
      <c r="F2">
        <v>0.96299999999999997</v>
      </c>
      <c r="G2">
        <f>B2-L8</f>
        <v>0.93399999999999994</v>
      </c>
      <c r="H2">
        <f>C2-L8</f>
        <v>0.93499999999999994</v>
      </c>
      <c r="I2">
        <f>D2-L8</f>
        <v>0.93799999999999994</v>
      </c>
      <c r="J2">
        <f>E2-L8</f>
        <v>0.94799999999999995</v>
      </c>
      <c r="K2">
        <f>F2-L8</f>
        <v>0.94899999999999995</v>
      </c>
      <c r="L2">
        <f>AVERAGE(G2:K2)</f>
        <v>0.94079999999999997</v>
      </c>
      <c r="M2">
        <f>STDEV(G2:K2)</f>
        <v>7.1902712048990264E-3</v>
      </c>
      <c r="N2">
        <f>STDEV(G2:K2)/AVERAGE(G2:K2)*100</f>
        <v>0.76427202433025365</v>
      </c>
      <c r="O2">
        <v>5</v>
      </c>
      <c r="P2">
        <f>_xlfn.CONFIDENCE.NORM(0.05,M2,O2)</f>
        <v>6.3024347839527308E-3</v>
      </c>
    </row>
    <row r="3" spans="1:16" x14ac:dyDescent="0.35">
      <c r="A3">
        <v>2</v>
      </c>
      <c r="B3">
        <v>0.96399999999999997</v>
      </c>
      <c r="C3">
        <v>0.96809999999999996</v>
      </c>
      <c r="D3">
        <v>1.042</v>
      </c>
      <c r="E3">
        <v>0.98199999999999998</v>
      </c>
      <c r="F3">
        <v>0.98</v>
      </c>
      <c r="G3">
        <f>B3-L8</f>
        <v>0.95</v>
      </c>
      <c r="H3">
        <f>C3-L8</f>
        <v>0.95409999999999995</v>
      </c>
      <c r="I3">
        <f>D3-L8</f>
        <v>1.028</v>
      </c>
      <c r="J3">
        <f>E3-L8</f>
        <v>0.96799999999999997</v>
      </c>
      <c r="K3">
        <f>F3-L8</f>
        <v>0.96599999999999997</v>
      </c>
      <c r="L3">
        <f t="shared" ref="L3:L7" si="0">AVERAGE(G3:K3)</f>
        <v>0.97322000000000009</v>
      </c>
      <c r="M3">
        <f t="shared" ref="M3:M7" si="1">STDEV(G3:K3)</f>
        <v>3.1563301474972508E-2</v>
      </c>
      <c r="N3">
        <f t="shared" ref="N3:N7" si="2">STDEV(G3:K3)/AVERAGE(G3:K3)*100</f>
        <v>3.2431825769068148</v>
      </c>
      <c r="O3">
        <v>5</v>
      </c>
      <c r="P3">
        <f t="shared" ref="P3:P8" si="3">_xlfn.CONFIDENCE.NORM(0.05,M3,O3)</f>
        <v>2.766594519782746E-2</v>
      </c>
    </row>
    <row r="4" spans="1:16" x14ac:dyDescent="0.35">
      <c r="A4">
        <v>3</v>
      </c>
      <c r="B4">
        <v>0.98499999999999999</v>
      </c>
      <c r="C4">
        <v>0.99</v>
      </c>
      <c r="D4">
        <v>0.96699999999999997</v>
      </c>
      <c r="E4">
        <v>0.97299999999999998</v>
      </c>
      <c r="F4">
        <v>0.97699999999999998</v>
      </c>
      <c r="G4">
        <f>B4-L8</f>
        <v>0.97099999999999997</v>
      </c>
      <c r="H4">
        <f>C4-L8</f>
        <v>0.97599999999999998</v>
      </c>
      <c r="I4">
        <f>D4-L8</f>
        <v>0.95299999999999996</v>
      </c>
      <c r="J4">
        <f>E4-L8</f>
        <v>0.95899999999999996</v>
      </c>
      <c r="K4">
        <f>F4-L8</f>
        <v>0.96299999999999997</v>
      </c>
      <c r="L4">
        <f t="shared" si="0"/>
        <v>0.96440000000000003</v>
      </c>
      <c r="M4">
        <f t="shared" si="1"/>
        <v>9.2086915465770785E-3</v>
      </c>
      <c r="N4">
        <f t="shared" si="2"/>
        <v>0.95486225078567788</v>
      </c>
      <c r="O4">
        <v>5</v>
      </c>
      <c r="P4">
        <f t="shared" si="3"/>
        <v>8.0716257097918284E-3</v>
      </c>
    </row>
    <row r="5" spans="1:16" x14ac:dyDescent="0.35">
      <c r="A5">
        <v>4</v>
      </c>
      <c r="B5">
        <v>0.90700000000000003</v>
      </c>
      <c r="C5">
        <v>0.91400000000000003</v>
      </c>
      <c r="D5">
        <v>0.92500000000000004</v>
      </c>
      <c r="E5">
        <v>0.93400000000000005</v>
      </c>
      <c r="F5">
        <v>0.91700000000000004</v>
      </c>
      <c r="G5">
        <f>B5-L8</f>
        <v>0.89300000000000002</v>
      </c>
      <c r="H5">
        <f>C5-L8</f>
        <v>0.9</v>
      </c>
      <c r="I5">
        <v>0.92500000000000004</v>
      </c>
      <c r="J5">
        <f>E5-L8</f>
        <v>0.92</v>
      </c>
      <c r="K5">
        <f>F5-L8</f>
        <v>0.90300000000000002</v>
      </c>
      <c r="L5">
        <f t="shared" si="0"/>
        <v>0.90820000000000012</v>
      </c>
      <c r="M5">
        <f t="shared" si="1"/>
        <v>1.3663820841916814E-2</v>
      </c>
      <c r="N5">
        <f t="shared" si="2"/>
        <v>1.5044946974143154</v>
      </c>
      <c r="O5">
        <v>5</v>
      </c>
      <c r="P5">
        <f t="shared" si="3"/>
        <v>1.1976646958340168E-2</v>
      </c>
    </row>
    <row r="6" spans="1:16" x14ac:dyDescent="0.35">
      <c r="A6">
        <v>5</v>
      </c>
      <c r="B6">
        <v>0.996</v>
      </c>
      <c r="C6">
        <v>1.0089999999999999</v>
      </c>
      <c r="D6">
        <v>0.97699999999999998</v>
      </c>
      <c r="E6">
        <v>0.97799999999999998</v>
      </c>
      <c r="F6">
        <v>1</v>
      </c>
      <c r="G6">
        <f>B6-L8</f>
        <v>0.98199999999999998</v>
      </c>
      <c r="H6">
        <f>C6-L8</f>
        <v>0.99499999999999988</v>
      </c>
      <c r="I6">
        <f>D5-L8</f>
        <v>0.91100000000000003</v>
      </c>
      <c r="J6">
        <f>E6-L8</f>
        <v>0.96399999999999997</v>
      </c>
      <c r="K6">
        <f>F6-L8</f>
        <v>0.98599999999999999</v>
      </c>
      <c r="L6">
        <f t="shared" si="0"/>
        <v>0.96760000000000002</v>
      </c>
      <c r="M6">
        <f t="shared" si="1"/>
        <v>3.3590177135585299E-2</v>
      </c>
      <c r="N6">
        <f t="shared" si="2"/>
        <v>3.4714941231485428</v>
      </c>
      <c r="O6">
        <v>5</v>
      </c>
      <c r="P6">
        <f t="shared" si="3"/>
        <v>2.9442547401300617E-2</v>
      </c>
    </row>
    <row r="7" spans="1:16" x14ac:dyDescent="0.35">
      <c r="A7">
        <v>6</v>
      </c>
      <c r="B7">
        <v>0.97699999999999998</v>
      </c>
      <c r="C7">
        <v>0.97499999999999998</v>
      </c>
      <c r="D7">
        <v>0.98099999999999998</v>
      </c>
      <c r="E7">
        <v>0.97599999999999998</v>
      </c>
      <c r="F7">
        <v>0.96899999999999997</v>
      </c>
      <c r="G7">
        <f>B7-L8</f>
        <v>0.96299999999999997</v>
      </c>
      <c r="H7">
        <v>0.97499999999999998</v>
      </c>
      <c r="I7">
        <f>D6-L8</f>
        <v>0.96299999999999997</v>
      </c>
      <c r="J7">
        <v>0.97599999999999998</v>
      </c>
      <c r="K7">
        <f>F7-L8</f>
        <v>0.95499999999999996</v>
      </c>
      <c r="L7">
        <f t="shared" si="0"/>
        <v>0.96639999999999993</v>
      </c>
      <c r="M7">
        <f t="shared" si="1"/>
        <v>8.9330845736509262E-3</v>
      </c>
      <c r="N7">
        <f t="shared" si="2"/>
        <v>0.92436719512116372</v>
      </c>
      <c r="O7">
        <v>5</v>
      </c>
      <c r="P7">
        <f t="shared" si="3"/>
        <v>7.8300499856819757E-3</v>
      </c>
    </row>
    <row r="8" spans="1:16" x14ac:dyDescent="0.35">
      <c r="A8" t="s">
        <v>6</v>
      </c>
      <c r="B8">
        <v>1.4999999999999999E-2</v>
      </c>
      <c r="C8">
        <v>1.4999999999999999E-2</v>
      </c>
      <c r="D8">
        <v>1.4999999999999999E-2</v>
      </c>
      <c r="E8">
        <v>1.6E-2</v>
      </c>
      <c r="F8">
        <v>8.9999999999999993E-3</v>
      </c>
      <c r="L8">
        <f>AVERAGE(B8:F8)</f>
        <v>1.3999999999999999E-2</v>
      </c>
      <c r="M8">
        <f>STDEV(B8:F8)</f>
        <v>2.8284271247461905E-3</v>
      </c>
      <c r="N8">
        <f>STDEV(B8:F8)/AVERAGE(B8:F8)*100</f>
        <v>20.203050891044221</v>
      </c>
      <c r="O8">
        <v>5</v>
      </c>
      <c r="P8">
        <f t="shared" si="3"/>
        <v>2.4791801292182456E-3</v>
      </c>
    </row>
    <row r="10" spans="1:16" x14ac:dyDescent="0.35">
      <c r="A10" t="s">
        <v>10</v>
      </c>
      <c r="B10" t="s">
        <v>20</v>
      </c>
      <c r="C10" t="s">
        <v>9</v>
      </c>
      <c r="D10" t="s">
        <v>14</v>
      </c>
      <c r="E10" t="s">
        <v>7</v>
      </c>
      <c r="F10" t="s">
        <v>8</v>
      </c>
      <c r="G10" t="s">
        <v>15</v>
      </c>
      <c r="H10" t="s">
        <v>30</v>
      </c>
      <c r="I10" t="s">
        <v>16</v>
      </c>
      <c r="J10" t="s">
        <v>17</v>
      </c>
    </row>
    <row r="11" spans="1:16" x14ac:dyDescent="0.35">
      <c r="A11" t="s">
        <v>11</v>
      </c>
      <c r="B11">
        <v>50</v>
      </c>
      <c r="C11">
        <v>0.05</v>
      </c>
      <c r="D11">
        <f>AVERAGE(G2:K4)</f>
        <v>0.95947333333333318</v>
      </c>
      <c r="E11">
        <f>STDEV(G2:K4)</f>
        <v>2.289829895948815E-2</v>
      </c>
      <c r="F11">
        <f>E11/D11</f>
        <v>2.3865487621147874E-2</v>
      </c>
      <c r="G11">
        <v>15</v>
      </c>
      <c r="H11">
        <f>_xlfn.CONFIDENCE.NORM(0.05,E11,G11)</f>
        <v>1.1587925187381951E-2</v>
      </c>
      <c r="I11">
        <f>ABS(D11-B15)</f>
        <v>4.1026666666666767E-2</v>
      </c>
      <c r="J11">
        <f>(I11/B15)*100</f>
        <v>4.1006163584874331</v>
      </c>
    </row>
    <row r="12" spans="1:16" x14ac:dyDescent="0.35">
      <c r="A12" t="s">
        <v>12</v>
      </c>
      <c r="B12">
        <v>50</v>
      </c>
      <c r="C12" s="1">
        <v>0.05</v>
      </c>
      <c r="D12">
        <f>AVERAGE(G5:K7)</f>
        <v>0.94740000000000002</v>
      </c>
      <c r="E12">
        <f>STDEV(G5:K7)</f>
        <v>3.495670791953135E-2</v>
      </c>
      <c r="F12">
        <f>E12/D12</f>
        <v>3.6897517331149828E-2</v>
      </c>
      <c r="G12">
        <v>15</v>
      </c>
      <c r="H12">
        <f>_xlfn.CONFIDENCE.NORM(0.05,E12,G12)</f>
        <v>1.7690209953383638E-2</v>
      </c>
      <c r="I12">
        <f>ABS(D12-B15)</f>
        <v>5.3099999999999925E-2</v>
      </c>
      <c r="J12">
        <f>(I12/B15)*100</f>
        <v>5.3073463268365746</v>
      </c>
    </row>
    <row r="13" spans="1:16" x14ac:dyDescent="0.35">
      <c r="A13" t="s">
        <v>18</v>
      </c>
      <c r="B13">
        <v>25</v>
      </c>
      <c r="C13">
        <v>0.03</v>
      </c>
    </row>
    <row r="15" spans="1:16" x14ac:dyDescent="0.35">
      <c r="A15" t="s">
        <v>21</v>
      </c>
      <c r="B15">
        <v>1.0004999999999999</v>
      </c>
      <c r="C15" t="s">
        <v>19</v>
      </c>
    </row>
    <row r="16" spans="1:16" x14ac:dyDescent="0.35">
      <c r="F16" s="2"/>
      <c r="G16" s="2"/>
      <c r="H16" s="2"/>
      <c r="I16" s="2"/>
      <c r="J16" s="2"/>
      <c r="K16" s="2"/>
    </row>
    <row r="17" spans="1:11" x14ac:dyDescent="0.35">
      <c r="B17" t="s">
        <v>22</v>
      </c>
      <c r="C17" t="s">
        <v>23</v>
      </c>
      <c r="F17" s="2" t="s">
        <v>31</v>
      </c>
      <c r="G17" s="2"/>
      <c r="H17" s="2"/>
      <c r="I17" s="2"/>
      <c r="J17" s="2"/>
      <c r="K17" s="2"/>
    </row>
    <row r="18" spans="1:11" x14ac:dyDescent="0.35">
      <c r="A18" t="s">
        <v>11</v>
      </c>
      <c r="B18">
        <f>SQRT(((C13/B13)^2)+((C11/B11)^2))</f>
        <v>1.5620499351813306E-3</v>
      </c>
      <c r="C18">
        <f>B15*B18</f>
        <v>1.5628309601489212E-3</v>
      </c>
      <c r="F18" s="2" t="s">
        <v>32</v>
      </c>
      <c r="G18" s="2"/>
      <c r="H18" s="2"/>
      <c r="I18" s="2"/>
      <c r="J18" s="2"/>
      <c r="K18" s="2"/>
    </row>
    <row r="19" spans="1:11" x14ac:dyDescent="0.35">
      <c r="A19" t="s">
        <v>12</v>
      </c>
      <c r="B19">
        <f>SQRT(((C12)^2)+((C12)^2))</f>
        <v>7.0710678118654766E-2</v>
      </c>
      <c r="C19">
        <f>B15*B19</f>
        <v>7.0746033457714089E-2</v>
      </c>
      <c r="F19" s="2">
        <v>-50</v>
      </c>
      <c r="G19" s="2"/>
      <c r="H19" s="2"/>
      <c r="I19" s="2"/>
      <c r="J19" s="2"/>
      <c r="K19" s="2"/>
    </row>
    <row r="20" spans="1:11" x14ac:dyDescent="0.35">
      <c r="F20" s="2"/>
      <c r="G20" s="2"/>
      <c r="H20" s="2"/>
      <c r="I20" s="2"/>
      <c r="J20" s="2"/>
      <c r="K20" s="2"/>
    </row>
    <row r="21" spans="1:11" x14ac:dyDescent="0.35">
      <c r="F21" s="2"/>
      <c r="G21" s="2"/>
      <c r="H21" s="2"/>
      <c r="I21" s="2"/>
      <c r="J21" s="2"/>
      <c r="K21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Lab1_Calculations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Jinshan Gao</cp:lastModifiedBy>
  <dcterms:created xsi:type="dcterms:W3CDTF">2025-09-23T08:59:28Z</dcterms:created>
  <dcterms:modified xsi:type="dcterms:W3CDTF">2025-10-14T18:37:00Z</dcterms:modified>
</cp:coreProperties>
</file>