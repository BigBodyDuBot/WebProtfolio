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uy Hoang\Downloads\"/>
    </mc:Choice>
  </mc:AlternateContent>
  <xr:revisionPtr revIDLastSave="0" documentId="13_ncr:1_{D9C3C8E2-800B-4A7E-8967-D8B7F6220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b1_Calcu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J12" i="1"/>
  <c r="I12" i="1"/>
  <c r="I11" i="1"/>
  <c r="J11" i="1" s="1"/>
  <c r="C19" i="1"/>
  <c r="B19" i="1"/>
  <c r="B18" i="1"/>
  <c r="C18" i="1" s="1"/>
  <c r="G2" i="1"/>
  <c r="H12" i="1"/>
  <c r="H11" i="1"/>
  <c r="K2" i="1"/>
  <c r="F12" i="1"/>
  <c r="F11" i="1"/>
  <c r="I2" i="1"/>
  <c r="E12" i="1"/>
  <c r="E11" i="1"/>
  <c r="D12" i="1"/>
  <c r="K3" i="1"/>
  <c r="K4" i="1"/>
  <c r="K5" i="1"/>
  <c r="K6" i="1"/>
  <c r="K7" i="1"/>
  <c r="K8" i="1"/>
  <c r="I3" i="1"/>
  <c r="I4" i="1"/>
  <c r="I5" i="1"/>
  <c r="I6" i="1"/>
  <c r="I7" i="1"/>
  <c r="I8" i="1"/>
  <c r="H3" i="1"/>
  <c r="H4" i="1"/>
  <c r="H5" i="1"/>
  <c r="H6" i="1"/>
  <c r="H7" i="1"/>
  <c r="H8" i="1"/>
  <c r="H2" i="1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<sst xmlns="http://schemas.openxmlformats.org/spreadsheetml/2006/main" count="31" uniqueCount="26">
  <si>
    <t>Sample</t>
  </si>
  <si>
    <t>Raw Abs1</t>
  </si>
  <si>
    <t>Raw Abs2</t>
  </si>
  <si>
    <t>Raw Abs3</t>
  </si>
  <si>
    <t>Raw Abs4</t>
  </si>
  <si>
    <t>Raw Abs5</t>
  </si>
  <si>
    <t>Background</t>
  </si>
  <si>
    <t xml:space="preserve">Average </t>
  </si>
  <si>
    <t>SD</t>
  </si>
  <si>
    <t>RSD%</t>
  </si>
  <si>
    <t>Uncertanty</t>
  </si>
  <si>
    <t>Type</t>
  </si>
  <si>
    <t>Flask</t>
  </si>
  <si>
    <t>Beaker</t>
  </si>
  <si>
    <t xml:space="preserve"> Sample Size</t>
  </si>
  <si>
    <t>95% CL</t>
  </si>
  <si>
    <t>Mean</t>
  </si>
  <si>
    <t>Sample Size</t>
  </si>
  <si>
    <t>Absolute Error</t>
  </si>
  <si>
    <t>% Error</t>
  </si>
  <si>
    <t>Pippet</t>
  </si>
  <si>
    <t>.</t>
  </si>
  <si>
    <t>Measurment (mL)</t>
  </si>
  <si>
    <t>Expected Concentraion</t>
  </si>
  <si>
    <t>Relative Uncertainty</t>
  </si>
  <si>
    <t>Absolute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</si>
</sst>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D12" sqref="D12"/>
    </sheetView>
  </sheetViews>
  <sheetFormatPr defaultRowHeight="14.4" x14ac:dyDescent="0.3"/>
  <cols>
    <col min="1" max="1" width="20.5546875" customWidth="1"/>
    <col min="2" max="3" width="18.6640625" customWidth="1"/>
    <col min="7" max="7" width="11.109375" customWidth="1"/>
    <col min="9" max="9" width="14.5546875" customWidth="1"/>
    <col min="10" max="10" width="12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14</v>
      </c>
      <c r="K1" t="s">
        <v>15</v>
      </c>
    </row>
    <row r="2" spans="1:11" x14ac:dyDescent="0.3">
      <c r="A2">
        <v>1</v>
      </c>
      <c r="B2">
        <v>0.94799999999999995</v>
      </c>
      <c r="C2">
        <v>0.94899999999999995</v>
      </c>
      <c r="D2">
        <v>0.95199999999999996</v>
      </c>
      <c r="E2">
        <v>0.96199999999999997</v>
      </c>
      <c r="F2">
        <v>0.96299999999999997</v>
      </c>
      <c r="G2">
        <f>AVERAGE(B2:F2)</f>
        <v>0.95479999999999998</v>
      </c>
      <c r="H2">
        <f>STDEV(B2:F2)</f>
        <v>7.1902712048990264E-3</v>
      </c>
      <c r="I2">
        <f>STDEV(B2:F2)/AVERAGE(B2:F2)*100</f>
        <v>0.75306568966265464</v>
      </c>
      <c r="J2">
        <v>5</v>
      </c>
      <c r="K2">
        <f>_xlfn.CONFIDENCE.NORM(0.05,H2,J2)</f>
        <v>6.3024347839527308E-3</v>
      </c>
    </row>
    <row r="3" spans="1:11" x14ac:dyDescent="0.3">
      <c r="A3">
        <v>2</v>
      </c>
      <c r="B3">
        <v>0.96399999999999997</v>
      </c>
      <c r="C3">
        <v>0.96809999999999996</v>
      </c>
      <c r="D3">
        <v>1.042</v>
      </c>
      <c r="E3">
        <v>0.98199999999999998</v>
      </c>
      <c r="F3">
        <v>0.98</v>
      </c>
      <c r="G3">
        <f>AVERAGE(B3:F3)</f>
        <v>0.98721999999999999</v>
      </c>
      <c r="H3">
        <f t="shared" ref="H3:H8" si="0">STDEV(B3:F3)</f>
        <v>3.1563301474972515E-2</v>
      </c>
      <c r="I3">
        <f t="shared" ref="I3:I8" si="1">STDEV(B3:F3)/AVERAGE(B3:F3)*100</f>
        <v>3.197190238748457</v>
      </c>
      <c r="J3">
        <v>5</v>
      </c>
      <c r="K3">
        <f t="shared" ref="K3:K8" si="2">_xlfn.CONFIDENCE.NORM(0.05,H3,J3)</f>
        <v>2.7665945197827464E-2</v>
      </c>
    </row>
    <row r="4" spans="1:11" x14ac:dyDescent="0.3">
      <c r="A4">
        <v>3</v>
      </c>
      <c r="B4">
        <v>0.98499999999999999</v>
      </c>
      <c r="C4">
        <v>0.99</v>
      </c>
      <c r="D4">
        <v>0.96699999999999997</v>
      </c>
      <c r="E4">
        <v>0.97299999999999998</v>
      </c>
      <c r="F4">
        <v>0.97699999999999998</v>
      </c>
      <c r="G4">
        <f t="shared" ref="G4:G8" si="3">AVERAGE(B4:F4)</f>
        <v>0.97840000000000005</v>
      </c>
      <c r="H4">
        <f t="shared" si="0"/>
        <v>9.2086915465770785E-3</v>
      </c>
      <c r="I4">
        <f t="shared" si="1"/>
        <v>0.94119905422905548</v>
      </c>
      <c r="J4">
        <v>5</v>
      </c>
      <c r="K4">
        <f t="shared" si="2"/>
        <v>8.0716257097918284E-3</v>
      </c>
    </row>
    <row r="5" spans="1:11" x14ac:dyDescent="0.3">
      <c r="A5">
        <v>4</v>
      </c>
      <c r="B5">
        <v>0.90700000000000003</v>
      </c>
      <c r="C5">
        <v>0.91400000000000003</v>
      </c>
      <c r="D5">
        <v>0.92500000000000004</v>
      </c>
      <c r="E5">
        <v>0.93400000000000005</v>
      </c>
      <c r="F5">
        <v>0.91700000000000004</v>
      </c>
      <c r="G5">
        <f t="shared" si="3"/>
        <v>0.91940000000000011</v>
      </c>
      <c r="H5">
        <f t="shared" si="0"/>
        <v>1.0406728592598165E-2</v>
      </c>
      <c r="I5">
        <f t="shared" si="1"/>
        <v>1.1319043498584038</v>
      </c>
      <c r="J5">
        <v>5</v>
      </c>
      <c r="K5">
        <f t="shared" si="2"/>
        <v>9.1217321850750946E-3</v>
      </c>
    </row>
    <row r="6" spans="1:11" x14ac:dyDescent="0.3">
      <c r="A6">
        <v>5</v>
      </c>
      <c r="B6">
        <v>0.996</v>
      </c>
      <c r="C6">
        <v>1.0089999999999999</v>
      </c>
      <c r="D6">
        <v>0.97699999999999998</v>
      </c>
      <c r="E6">
        <v>0.97799999999999998</v>
      </c>
      <c r="F6">
        <v>1</v>
      </c>
      <c r="G6">
        <f t="shared" si="3"/>
        <v>0.99199999999999999</v>
      </c>
      <c r="H6">
        <f t="shared" si="0"/>
        <v>1.4053469322555174E-2</v>
      </c>
      <c r="I6">
        <f t="shared" si="1"/>
        <v>1.4166803752575781</v>
      </c>
      <c r="J6">
        <v>5</v>
      </c>
      <c r="K6">
        <f t="shared" si="2"/>
        <v>1.2318182634521108E-2</v>
      </c>
    </row>
    <row r="7" spans="1:11" x14ac:dyDescent="0.3">
      <c r="A7">
        <v>6</v>
      </c>
      <c r="B7">
        <v>0.97699999999999998</v>
      </c>
      <c r="C7">
        <v>0.97499999999999998</v>
      </c>
      <c r="D7">
        <v>0.98099999999999998</v>
      </c>
      <c r="E7">
        <v>0.97599999999999998</v>
      </c>
      <c r="F7">
        <v>0.96899999999999997</v>
      </c>
      <c r="G7">
        <f t="shared" si="3"/>
        <v>0.97560000000000002</v>
      </c>
      <c r="H7">
        <f t="shared" si="0"/>
        <v>4.335896677735763E-3</v>
      </c>
      <c r="I7">
        <f t="shared" si="1"/>
        <v>0.44443385380645373</v>
      </c>
      <c r="J7">
        <v>5</v>
      </c>
      <c r="K7">
        <f t="shared" si="2"/>
        <v>3.8005111716465094E-3</v>
      </c>
    </row>
    <row r="8" spans="1:11" x14ac:dyDescent="0.3">
      <c r="A8" t="s">
        <v>6</v>
      </c>
      <c r="B8">
        <v>1.4999999999999999E-2</v>
      </c>
      <c r="C8">
        <v>1.4999999999999999E-2</v>
      </c>
      <c r="D8">
        <v>1.4999999999999999E-2</v>
      </c>
      <c r="E8">
        <v>1.6E-2</v>
      </c>
      <c r="F8">
        <v>8.9999999999999993E-3</v>
      </c>
      <c r="G8">
        <f t="shared" si="3"/>
        <v>1.3999999999999999E-2</v>
      </c>
      <c r="H8">
        <f t="shared" si="0"/>
        <v>2.8284271247461905E-3</v>
      </c>
      <c r="I8">
        <f t="shared" si="1"/>
        <v>20.203050891044221</v>
      </c>
      <c r="J8">
        <v>5</v>
      </c>
      <c r="K8">
        <f t="shared" si="2"/>
        <v>2.4791801292182456E-3</v>
      </c>
    </row>
    <row r="10" spans="1:11" x14ac:dyDescent="0.3">
      <c r="A10" t="s">
        <v>11</v>
      </c>
      <c r="B10" t="s">
        <v>22</v>
      </c>
      <c r="C10" t="s">
        <v>10</v>
      </c>
      <c r="D10" t="s">
        <v>16</v>
      </c>
      <c r="E10" t="s">
        <v>8</v>
      </c>
      <c r="F10" t="s">
        <v>9</v>
      </c>
      <c r="G10" t="s">
        <v>17</v>
      </c>
      <c r="H10" t="s">
        <v>15</v>
      </c>
      <c r="I10" t="s">
        <v>18</v>
      </c>
      <c r="J10" t="s">
        <v>19</v>
      </c>
    </row>
    <row r="11" spans="1:11" x14ac:dyDescent="0.3">
      <c r="A11" t="s">
        <v>12</v>
      </c>
      <c r="B11">
        <v>50</v>
      </c>
      <c r="C11">
        <v>0.05</v>
      </c>
      <c r="D11">
        <f>AVERAGE(B2:F4)</f>
        <v>0.9734733333333333</v>
      </c>
      <c r="E11">
        <f>STDEV(B2:F4)</f>
        <v>2.289829895948815E-2</v>
      </c>
      <c r="F11">
        <f>E11/D11</f>
        <v>2.3522266276242612E-2</v>
      </c>
      <c r="G11">
        <v>15</v>
      </c>
      <c r="H11">
        <f>_xlfn.CONFIDENCE.NORM(0.05,E11,G11)</f>
        <v>1.1587925187381951E-2</v>
      </c>
      <c r="I11">
        <f>ABS(D11-B15)</f>
        <v>2.7026666666666643E-2</v>
      </c>
      <c r="J11">
        <f>(I11/B15)*100</f>
        <v>2.7013160086623333</v>
      </c>
    </row>
    <row r="12" spans="1:11" x14ac:dyDescent="0.3">
      <c r="A12" t="s">
        <v>13</v>
      </c>
      <c r="B12">
        <v>50</v>
      </c>
      <c r="C12" s="1">
        <v>0.05</v>
      </c>
      <c r="D12">
        <f>AVERAGE(B5:F7)</f>
        <v>0.96233333333333337</v>
      </c>
      <c r="E12">
        <f>STDEV(B5:F7)</f>
        <v>3.3589255651742166E-2</v>
      </c>
      <c r="F12">
        <f>E12/D12</f>
        <v>3.4903971927684962E-2</v>
      </c>
      <c r="G12">
        <v>15</v>
      </c>
      <c r="H12">
        <f>_xlfn.CONFIDENCE.NORM(0.05,E12,G12)</f>
        <v>1.6998196341172021E-2</v>
      </c>
      <c r="I12">
        <f>ABS(D12-B15)</f>
        <v>3.8166666666666571E-2</v>
      </c>
      <c r="J12">
        <f>(I12/B15)*100</f>
        <v>3.8147592870231457</v>
      </c>
    </row>
    <row r="13" spans="1:11" x14ac:dyDescent="0.3">
      <c r="A13" t="s">
        <v>20</v>
      </c>
      <c r="B13">
        <v>25</v>
      </c>
      <c r="C13">
        <v>0.03</v>
      </c>
    </row>
    <row r="15" spans="1:11" x14ac:dyDescent="0.3">
      <c r="A15" t="s">
        <v>23</v>
      </c>
      <c r="B15">
        <v>1.0004999999999999</v>
      </c>
      <c r="C15" t="s">
        <v>21</v>
      </c>
    </row>
    <row r="17" spans="1:3" x14ac:dyDescent="0.3">
      <c r="B17" t="s">
        <v>24</v>
      </c>
      <c r="C17" t="s">
        <v>25</v>
      </c>
    </row>
    <row r="18" spans="1:3" x14ac:dyDescent="0.3">
      <c r="A18" t="s">
        <v>12</v>
      </c>
      <c r="B18">
        <f>SQRT(((C13/B13)^2)+((C11/B11)^2))</f>
        <v>1.5620499351813306E-3</v>
      </c>
      <c r="C18">
        <f>B15*B18</f>
        <v>1.5628309601489212E-3</v>
      </c>
    </row>
    <row r="19" spans="1:3" x14ac:dyDescent="0.3">
      <c r="A19" t="s">
        <v>13</v>
      </c>
      <c r="B19">
        <f>SQRT(((C12)^2)+((C12)^2))</f>
        <v>7.0710678118654766E-2</v>
      </c>
      <c r="C19">
        <f>B15*B19</f>
        <v>7.0746033457714089E-2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Lab1_Calculations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Hoang</cp:lastModifiedBy>
  <dcterms:created xsi:type="dcterms:W3CDTF">2025-09-23T08:59:28Z</dcterms:created>
  <dcterms:modified xsi:type="dcterms:W3CDTF">2025-09-23T12:57:16Z</dcterms:modified>
</cp:coreProperties>
</file>