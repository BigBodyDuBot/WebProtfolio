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e9ecf705f18044/Pictures/Chem 310/"/>
    </mc:Choice>
  </mc:AlternateContent>
  <xr:revisionPtr revIDLastSave="116" documentId="8_{371E05AB-C0AB-47A7-88B6-B5E07C8EC575}" xr6:coauthVersionLast="47" xr6:coauthVersionMax="47" xr10:uidLastSave="{051DCD71-8F50-44ED-A981-034AD06622C9}"/>
  <bookViews>
    <workbookView xWindow="-120" yWindow="-120" windowWidth="29040" windowHeight="15720" xr2:uid="{CD7F8BC2-17D3-419B-9E65-D8A762CE7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L10" i="1"/>
  <c r="K10" i="1"/>
  <c r="J10" i="1"/>
  <c r="E52" i="1"/>
  <c r="E51" i="1"/>
  <c r="E50" i="1"/>
  <c r="E49" i="1"/>
  <c r="E48" i="1"/>
  <c r="E47" i="1"/>
  <c r="E46" i="1"/>
  <c r="I10" i="1"/>
  <c r="E24" i="1" a="1"/>
  <c r="E24" i="1" s="1"/>
  <c r="C53" i="1"/>
  <c r="B53" i="1"/>
  <c r="C43" i="1"/>
  <c r="B43" i="1"/>
  <c r="C37" i="1"/>
  <c r="B37" i="1"/>
  <c r="C31" i="1"/>
  <c r="B31" i="1"/>
  <c r="C25" i="1"/>
  <c r="B25" i="1"/>
  <c r="C19" i="1"/>
  <c r="B19" i="1"/>
  <c r="J3" i="1"/>
  <c r="J4" i="1"/>
  <c r="J5" i="1"/>
  <c r="J6" i="1"/>
  <c r="J2" i="1"/>
  <c r="F7" i="1"/>
  <c r="F6" i="1"/>
  <c r="F5" i="1"/>
  <c r="F4" i="1"/>
  <c r="F2" i="1"/>
  <c r="F3" i="1"/>
  <c r="B13" i="1"/>
  <c r="C12" i="1"/>
  <c r="C13" i="1" s="1"/>
  <c r="B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<sst xmlns="http://schemas.openxmlformats.org/spreadsheetml/2006/main" count="65" uniqueCount="39">
  <si>
    <t>Trial</t>
  </si>
  <si>
    <r>
      <t>ABS at Ni(NO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</si>
  <si>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ABS at CO(NO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2</t>
    </r>
  </si>
  <si>
    <t>Average</t>
  </si>
  <si>
    <t>S.D</t>
  </si>
  <si>
    <t>Sample 1</t>
  </si>
  <si>
    <t>T1</t>
  </si>
  <si>
    <t>T2</t>
  </si>
  <si>
    <t>T3</t>
  </si>
  <si>
    <t>Sample 2</t>
  </si>
  <si>
    <t>Sample 3</t>
  </si>
  <si>
    <t>Sample 4</t>
  </si>
  <si>
    <t>Sample 5</t>
  </si>
  <si>
    <t>Unknown</t>
  </si>
  <si>
    <t>T4</t>
  </si>
  <si>
    <t>T5</t>
  </si>
  <si>
    <t>T6</t>
  </si>
  <si>
    <t>T7</t>
  </si>
  <si>
    <t>Blank Corrected Average</t>
  </si>
  <si>
    <t>Signal Ratio (Corrected Ni ABS / Corrected CO ABS)</t>
  </si>
  <si>
    <t>Ni Volume (mL)</t>
  </si>
  <si>
    <t>CO Volume (mL)</t>
  </si>
  <si>
    <t>Ratio Ni/CO (mL)</t>
  </si>
  <si>
    <t>slope</t>
  </si>
  <si>
    <t>se</t>
  </si>
  <si>
    <r>
      <t>r</t>
    </r>
    <r>
      <rPr>
        <vertAlign val="superscript"/>
        <sz val="11"/>
        <color theme="1"/>
        <rFont val="Aptos Narrow"/>
        <family val="2"/>
        <scheme val="minor"/>
      </rPr>
      <t>2</t>
    </r>
  </si>
  <si>
    <t>F</t>
  </si>
  <si>
    <t>ssreg</t>
  </si>
  <si>
    <t xml:space="preserve"> intercept</t>
  </si>
  <si>
    <t>seb</t>
  </si>
  <si>
    <t>sey</t>
  </si>
  <si>
    <t>df</t>
  </si>
  <si>
    <t>ssresid</t>
  </si>
  <si>
    <r>
      <t>Concentration of Ni(NO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)</t>
    </r>
    <r>
      <rPr>
        <vertAlign val="subscript"/>
        <sz val="11"/>
        <color theme="1"/>
        <rFont val="Aptos Narrow"/>
        <family val="2"/>
        <scheme val="minor"/>
      </rPr>
      <t>2</t>
    </r>
  </si>
  <si>
    <t>Standard
deviation of
concentration (M)</t>
  </si>
  <si>
    <t>RSD of concentration (%)</t>
  </si>
  <si>
    <t>Absolute error (M)</t>
  </si>
  <si>
    <t>Relative error (%)</t>
  </si>
  <si>
    <t>Corrected Abs Ni(NO3)2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</si>
</sst>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Calibration Chart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Sheet1!$F$2:$F$6</c:f>
              <c:numCache>
                <c:formatCode>General</c:formatCode>
                <c:ptCount val="5"/>
                <c:pt idx="0">
                  <c:v>0.34762657952827064</c:v>
                </c:pt>
                <c:pt idx="1">
                  <c:v>0.57241392236612754</c:v>
                </c:pt>
                <c:pt idx="2">
                  <c:v>0.90927680458046456</c:v>
                </c:pt>
                <c:pt idx="3">
                  <c:v>1.4460331355575005</c:v>
                </c:pt>
                <c:pt idx="4">
                  <c:v>2.8085291018409473</c:v>
                </c:pt>
              </c:numCache>
            </c:numRef>
          </c:xVal>
          <c:yVal>
            <c:numRef>
              <c:f>Sheet1!$J$2:$J$6</c:f>
              <c:numCache>
                <c:formatCode>General</c:formatCode>
                <c:ptCount val="5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D1-46D0-A951-36CB3FBCCB85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2081453120"/>
        <c:axId val="205886118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Sheet1!$E$24:$E$28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1.9768757754977411</c:v>
                      </c:pt>
                      <c:pt idx="1">
                        <c:v>9.3273639981941089E-2</c:v>
                      </c:pt>
                      <c:pt idx="2">
                        <c:v>0.99336578497713945</c:v>
                      </c:pt>
                      <c:pt idx="3">
                        <c:v>449.20120084477753</c:v>
                      </c:pt>
                      <c:pt idx="4">
                        <c:v>15.051478373973618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Sheet1!$F$24:$F$28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-0.66541481826587923</c:v>
                      </c:pt>
                      <c:pt idx="1">
                        <c:v>0.13993616251939295</c:v>
                      </c:pt>
                      <c:pt idx="2">
                        <c:v>0.18304974371864324</c:v>
                      </c:pt>
                      <c:pt idx="3">
                        <c:v>3</c:v>
                      </c:pt>
                      <c:pt idx="4">
                        <c:v>0.10052162602638293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77D1-46D0-A951-36CB3FBCCB85}"/>
                  </c:ext>
                </c:extLst>
              </c15:ser>
            </c15:filteredScatterSeries>
          </c:ext>
        </c:extLst>
      </c:scatterChart>
      <c:valAx>
        <c:axId val="208145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Signal Ratio (Corrected Ni ABS / Corrected CO ABS)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861184"/>
        <c:crosses val="autoZero"/>
        <c:crossBetween val="midCat"/>
      </c:valAx>
      <c:valAx>
        <c:axId val="205886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Ni/CO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45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7</xdr:row>
      <xdr:rowOff>166687</xdr:rowOff>
    </xdr:from>
    <xdr:to>
      <xdr:col>7</xdr:col>
      <xdr:colOff>404812</xdr:colOff>
      <xdr:row>22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FE235A-71A4-B998-7F21-D85D971E6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B47A1-9A05-4F3B-B580-71C0B81D40D9}">
  <dimension ref="A1:M53"/>
  <sheetViews>
    <sheetView tabSelected="1" workbookViewId="0">
      <selection activeCell="I14" sqref="I14"/>
    </sheetView>
  </sheetViews>
  <sheetFormatPr defaultRowHeight="15" x14ac:dyDescent="0.25"/>
  <cols>
    <col min="1" max="1" width="22.140625" customWidth="1"/>
    <col min="2" max="2" width="15" customWidth="1"/>
    <col min="3" max="3" width="16.28515625" customWidth="1"/>
    <col min="5" max="5" width="22" customWidth="1"/>
    <col min="6" max="6" width="44.28515625" customWidth="1"/>
    <col min="8" max="8" width="14.42578125" customWidth="1"/>
    <col min="9" max="9" width="24.140625" customWidth="1"/>
    <col min="10" max="10" width="15.5703125" customWidth="1"/>
    <col min="11" max="11" width="22.140625" customWidth="1"/>
    <col min="12" max="12" width="16.5703125" customWidth="1"/>
    <col min="13" max="13" width="15.85546875" customWidth="1"/>
  </cols>
  <sheetData>
    <row r="1" spans="1:13" ht="18" x14ac:dyDescent="0.35">
      <c r="A1" t="s">
        <v>0</v>
      </c>
      <c r="B1" t="s">
        <v>1</v>
      </c>
      <c r="C1" t="s">
        <v>2</v>
      </c>
      <c r="F1" t="s">
        <v>19</v>
      </c>
      <c r="H1" t="s">
        <v>20</v>
      </c>
      <c r="I1" t="s">
        <v>21</v>
      </c>
      <c r="J1" t="s">
        <v>22</v>
      </c>
    </row>
    <row r="2" spans="1:13" x14ac:dyDescent="0.25">
      <c r="A2">
        <v>1</v>
      </c>
      <c r="B2">
        <v>-1.6E-2</v>
      </c>
      <c r="C2">
        <v>8.0000000000000002E-3</v>
      </c>
      <c r="E2" t="s">
        <v>5</v>
      </c>
      <c r="F2">
        <f>B19/C19</f>
        <v>0.34762657952827064</v>
      </c>
      <c r="H2">
        <v>5</v>
      </c>
      <c r="I2">
        <v>25</v>
      </c>
      <c r="J2">
        <f>H2/I2</f>
        <v>0.2</v>
      </c>
    </row>
    <row r="3" spans="1:13" x14ac:dyDescent="0.25">
      <c r="A3">
        <v>2</v>
      </c>
      <c r="B3">
        <v>4.0000000000000001E-3</v>
      </c>
      <c r="C3">
        <v>-1E-3</v>
      </c>
      <c r="E3" t="s">
        <v>9</v>
      </c>
      <c r="F3">
        <f>B25/C25</f>
        <v>0.57241392236612754</v>
      </c>
      <c r="H3">
        <v>10</v>
      </c>
      <c r="I3">
        <v>20</v>
      </c>
      <c r="J3">
        <f t="shared" ref="J3:J6" si="0">H3/I3</f>
        <v>0.5</v>
      </c>
    </row>
    <row r="4" spans="1:13" x14ac:dyDescent="0.25">
      <c r="A4">
        <v>3</v>
      </c>
      <c r="B4">
        <v>2E-3</v>
      </c>
      <c r="C4">
        <v>-5.0000000000000001E-3</v>
      </c>
      <c r="E4" t="s">
        <v>10</v>
      </c>
      <c r="F4">
        <f>B31/C31</f>
        <v>0.90927680458046456</v>
      </c>
      <c r="H4">
        <v>15</v>
      </c>
      <c r="I4">
        <v>15</v>
      </c>
      <c r="J4">
        <f t="shared" si="0"/>
        <v>1</v>
      </c>
    </row>
    <row r="5" spans="1:13" x14ac:dyDescent="0.25">
      <c r="A5">
        <v>4</v>
      </c>
      <c r="B5">
        <v>-4.5999999999999999E-2</v>
      </c>
      <c r="C5">
        <v>-1.9E-2</v>
      </c>
      <c r="E5" t="s">
        <v>11</v>
      </c>
      <c r="F5">
        <f>B37/C37</f>
        <v>1.4460331355575005</v>
      </c>
      <c r="H5">
        <v>20</v>
      </c>
      <c r="I5">
        <v>10</v>
      </c>
      <c r="J5">
        <f t="shared" si="0"/>
        <v>2</v>
      </c>
    </row>
    <row r="6" spans="1:13" x14ac:dyDescent="0.25">
      <c r="A6">
        <v>5</v>
      </c>
      <c r="B6">
        <v>-3.4000000000000002E-2</v>
      </c>
      <c r="C6">
        <v>-1.2999999999999999E-2</v>
      </c>
      <c r="E6" t="s">
        <v>12</v>
      </c>
      <c r="F6">
        <f>B43/C43</f>
        <v>2.8085291018409473</v>
      </c>
      <c r="H6">
        <v>25</v>
      </c>
      <c r="I6">
        <v>5</v>
      </c>
      <c r="J6">
        <f t="shared" si="0"/>
        <v>5</v>
      </c>
    </row>
    <row r="7" spans="1:13" x14ac:dyDescent="0.25">
      <c r="A7">
        <v>6</v>
      </c>
      <c r="B7">
        <v>-1.9E-2</v>
      </c>
      <c r="C7">
        <v>-1.0999999999999999E-2</v>
      </c>
      <c r="E7" t="s">
        <v>13</v>
      </c>
      <c r="F7">
        <f>B53/C53</f>
        <v>0.94526098804128345</v>
      </c>
    </row>
    <row r="8" spans="1:13" x14ac:dyDescent="0.25">
      <c r="A8">
        <v>7</v>
      </c>
      <c r="B8">
        <v>-3.7999999999999999E-2</v>
      </c>
      <c r="C8">
        <v>-1.6E-2</v>
      </c>
    </row>
    <row r="9" spans="1:13" ht="61.5" x14ac:dyDescent="0.35">
      <c r="A9">
        <v>8</v>
      </c>
      <c r="B9">
        <v>-4.7E-2</v>
      </c>
      <c r="C9">
        <v>-2.1000000000000001E-2</v>
      </c>
      <c r="I9" t="s">
        <v>33</v>
      </c>
      <c r="J9" s="1" t="s">
        <v>34</v>
      </c>
      <c r="K9" t="s">
        <v>35</v>
      </c>
      <c r="L9" t="s">
        <v>36</v>
      </c>
      <c r="M9" t="s">
        <v>37</v>
      </c>
    </row>
    <row r="10" spans="1:13" x14ac:dyDescent="0.25">
      <c r="A10">
        <v>9</v>
      </c>
      <c r="B10">
        <v>-3.5999999999999997E-2</v>
      </c>
      <c r="C10">
        <v>-1.7000000000000001E-2</v>
      </c>
      <c r="I10">
        <f>((F7-F24)/E24)*0.2</f>
        <v>0.1629516458515583</v>
      </c>
      <c r="J10">
        <f>_xlfn.STDEV.S(E46:E52)</f>
        <v>2.8028896653615281E-2</v>
      </c>
      <c r="K10">
        <f>(J10/B53)*100</f>
        <v>2.9305791870844962</v>
      </c>
      <c r="L10">
        <f>ABS(I10-0.2)</f>
        <v>3.7048354148441709E-2</v>
      </c>
      <c r="M10">
        <f>ABS(L10/0.2)*100</f>
        <v>18.524177074220855</v>
      </c>
    </row>
    <row r="11" spans="1:13" x14ac:dyDescent="0.25">
      <c r="A11">
        <v>10</v>
      </c>
      <c r="B11">
        <v>-0.01</v>
      </c>
      <c r="C11">
        <v>-1.6E-2</v>
      </c>
    </row>
    <row r="12" spans="1:13" x14ac:dyDescent="0.25">
      <c r="A12" t="s">
        <v>3</v>
      </c>
      <c r="B12">
        <f>AVERAGE(B2:B11)</f>
        <v>-2.4E-2</v>
      </c>
      <c r="C12">
        <f>AVERAGE(C2:C11)</f>
        <v>-1.11E-2</v>
      </c>
    </row>
    <row r="13" spans="1:13" x14ac:dyDescent="0.25">
      <c r="A13" t="s">
        <v>4</v>
      </c>
      <c r="B13">
        <f>STDEVA(B2:B11)</f>
        <v>1.8850287354131582E-2</v>
      </c>
      <c r="C13">
        <f>STDEVA(C2:C12)</f>
        <v>8.6654486323559723E-3</v>
      </c>
    </row>
    <row r="15" spans="1:13" x14ac:dyDescent="0.25">
      <c r="A15" t="s">
        <v>5</v>
      </c>
    </row>
    <row r="16" spans="1:13" x14ac:dyDescent="0.25">
      <c r="A16" t="s">
        <v>6</v>
      </c>
      <c r="B16">
        <v>0.61499999999999999</v>
      </c>
      <c r="C16">
        <v>1.881</v>
      </c>
    </row>
    <row r="17" spans="1:8" x14ac:dyDescent="0.25">
      <c r="A17" t="s">
        <v>7</v>
      </c>
      <c r="B17">
        <v>0.63500000000000001</v>
      </c>
      <c r="C17">
        <v>1.875</v>
      </c>
    </row>
    <row r="18" spans="1:8" x14ac:dyDescent="0.25">
      <c r="A18" t="s">
        <v>8</v>
      </c>
      <c r="B18">
        <v>0.67800000000000005</v>
      </c>
      <c r="C18">
        <v>1.964</v>
      </c>
    </row>
    <row r="19" spans="1:8" x14ac:dyDescent="0.25">
      <c r="A19" t="s">
        <v>18</v>
      </c>
      <c r="B19">
        <f>AVERAGE(B16:B18)-$B$12</f>
        <v>0.66666666666666663</v>
      </c>
      <c r="C19">
        <f>AVERAGE(C16:C18)-$C$12</f>
        <v>1.9177666666666671</v>
      </c>
    </row>
    <row r="21" spans="1:8" x14ac:dyDescent="0.25">
      <c r="A21" t="s">
        <v>9</v>
      </c>
    </row>
    <row r="22" spans="1:8" x14ac:dyDescent="0.25">
      <c r="A22" t="s">
        <v>6</v>
      </c>
      <c r="B22">
        <v>1.0149999999999999</v>
      </c>
      <c r="C22">
        <v>1.774</v>
      </c>
    </row>
    <row r="23" spans="1:8" x14ac:dyDescent="0.25">
      <c r="A23" t="s">
        <v>7</v>
      </c>
      <c r="B23">
        <v>0.98799999999999999</v>
      </c>
      <c r="C23">
        <v>1.76</v>
      </c>
    </row>
    <row r="24" spans="1:8" x14ac:dyDescent="0.25">
      <c r="A24" t="s">
        <v>8</v>
      </c>
      <c r="B24">
        <v>0.97899999999999998</v>
      </c>
      <c r="C24">
        <v>1.768</v>
      </c>
      <c r="E24" cm="1">
        <f t="array" ref="E24:F28">LINEST(J2:J6,F2:F6,TRUE,TRUE)</f>
        <v>1.9768757754977411</v>
      </c>
      <c r="F24">
        <v>-0.66541481826587923</v>
      </c>
      <c r="G24" t="s">
        <v>23</v>
      </c>
      <c r="H24" t="s">
        <v>28</v>
      </c>
    </row>
    <row r="25" spans="1:8" x14ac:dyDescent="0.25">
      <c r="A25" t="s">
        <v>18</v>
      </c>
      <c r="B25">
        <f>AVERAGE(B22:B24)-$B$12</f>
        <v>1.018</v>
      </c>
      <c r="C25">
        <f>AVERAGE(C22:C24)-$C$12</f>
        <v>1.7784333333333333</v>
      </c>
      <c r="E25">
        <v>9.3273639981941089E-2</v>
      </c>
      <c r="F25">
        <v>0.13993616251939295</v>
      </c>
      <c r="G25" t="s">
        <v>24</v>
      </c>
      <c r="H25" t="s">
        <v>29</v>
      </c>
    </row>
    <row r="26" spans="1:8" ht="16.5" x14ac:dyDescent="0.25">
      <c r="E26">
        <v>0.99336578497713945</v>
      </c>
      <c r="F26">
        <v>0.18304974371864324</v>
      </c>
      <c r="G26" t="s">
        <v>25</v>
      </c>
      <c r="H26" t="s">
        <v>30</v>
      </c>
    </row>
    <row r="27" spans="1:8" x14ac:dyDescent="0.25">
      <c r="A27" t="s">
        <v>10</v>
      </c>
      <c r="E27">
        <v>449.20120084477753</v>
      </c>
      <c r="F27">
        <v>3</v>
      </c>
      <c r="G27" t="s">
        <v>26</v>
      </c>
      <c r="H27" t="s">
        <v>31</v>
      </c>
    </row>
    <row r="28" spans="1:8" x14ac:dyDescent="0.25">
      <c r="A28" t="s">
        <v>6</v>
      </c>
      <c r="B28">
        <v>1.256</v>
      </c>
      <c r="C28">
        <v>1.425</v>
      </c>
      <c r="E28">
        <v>15.051478373973618</v>
      </c>
      <c r="F28">
        <v>0.10052162602638293</v>
      </c>
      <c r="G28" t="s">
        <v>27</v>
      </c>
      <c r="H28" t="s">
        <v>32</v>
      </c>
    </row>
    <row r="29" spans="1:8" x14ac:dyDescent="0.25">
      <c r="A29" t="s">
        <v>7</v>
      </c>
      <c r="B29">
        <v>1.2989999999999999</v>
      </c>
      <c r="C29">
        <v>1.4550000000000001</v>
      </c>
    </row>
    <row r="30" spans="1:8" x14ac:dyDescent="0.25">
      <c r="A30" t="s">
        <v>8</v>
      </c>
      <c r="B30">
        <v>1.375</v>
      </c>
      <c r="C30">
        <v>1.488</v>
      </c>
    </row>
    <row r="31" spans="1:8" x14ac:dyDescent="0.25">
      <c r="A31" t="s">
        <v>18</v>
      </c>
      <c r="B31">
        <f>AVERAGE(B28:B30)-$B$12</f>
        <v>1.3339999999999999</v>
      </c>
      <c r="C31">
        <f>AVERAGE(C28:C30)-$C$12</f>
        <v>1.4671000000000003</v>
      </c>
    </row>
    <row r="33" spans="1:5" x14ac:dyDescent="0.25">
      <c r="A33" t="s">
        <v>11</v>
      </c>
    </row>
    <row r="34" spans="1:5" x14ac:dyDescent="0.25">
      <c r="A34" t="s">
        <v>6</v>
      </c>
      <c r="B34">
        <v>1.419</v>
      </c>
      <c r="C34">
        <v>0.98699999999999999</v>
      </c>
    </row>
    <row r="35" spans="1:5" x14ac:dyDescent="0.25">
      <c r="A35" t="s">
        <v>7</v>
      </c>
      <c r="B35">
        <v>1.538</v>
      </c>
      <c r="C35">
        <v>1.0369999999999999</v>
      </c>
    </row>
    <row r="36" spans="1:5" x14ac:dyDescent="0.25">
      <c r="A36" t="s">
        <v>8</v>
      </c>
      <c r="B36">
        <v>1.431</v>
      </c>
      <c r="C36">
        <v>1.0269999999999999</v>
      </c>
    </row>
    <row r="37" spans="1:5" x14ac:dyDescent="0.25">
      <c r="A37" t="s">
        <v>18</v>
      </c>
      <c r="B37">
        <f>AVERAGE(B34:B36)-$B$12</f>
        <v>1.4866666666666666</v>
      </c>
      <c r="C37">
        <f>AVERAGE(C34:C36)-$C$12</f>
        <v>1.0281000000000002</v>
      </c>
    </row>
    <row r="39" spans="1:5" x14ac:dyDescent="0.25">
      <c r="A39" t="s">
        <v>12</v>
      </c>
    </row>
    <row r="40" spans="1:5" x14ac:dyDescent="0.25">
      <c r="A40" t="s">
        <v>6</v>
      </c>
      <c r="B40">
        <v>1.5720000000000001</v>
      </c>
      <c r="C40">
        <v>0.53</v>
      </c>
    </row>
    <row r="41" spans="1:5" x14ac:dyDescent="0.25">
      <c r="A41" t="s">
        <v>7</v>
      </c>
      <c r="B41">
        <v>1.4370000000000001</v>
      </c>
      <c r="C41">
        <v>0.52500000000000002</v>
      </c>
    </row>
    <row r="42" spans="1:5" x14ac:dyDescent="0.25">
      <c r="A42" t="s">
        <v>8</v>
      </c>
      <c r="B42">
        <v>1.45</v>
      </c>
      <c r="C42">
        <v>0.52500000000000002</v>
      </c>
    </row>
    <row r="43" spans="1:5" x14ac:dyDescent="0.25">
      <c r="A43" t="s">
        <v>18</v>
      </c>
      <c r="B43">
        <f>AVERAGE(B40:B42)-$B$12</f>
        <v>1.5103333333333335</v>
      </c>
      <c r="C43">
        <f>AVERAGE(C40:C42)-$C$12</f>
        <v>0.53776666666666673</v>
      </c>
    </row>
    <row r="45" spans="1:5" x14ac:dyDescent="0.25">
      <c r="A45" t="s">
        <v>13</v>
      </c>
      <c r="E45" t="s">
        <v>38</v>
      </c>
    </row>
    <row r="46" spans="1:5" x14ac:dyDescent="0.25">
      <c r="A46" t="s">
        <v>6</v>
      </c>
      <c r="B46">
        <v>0.94699999999999995</v>
      </c>
      <c r="C46">
        <v>1.0029999999999999</v>
      </c>
      <c r="E46">
        <f>B46-B12</f>
        <v>0.97099999999999997</v>
      </c>
    </row>
    <row r="47" spans="1:5" x14ac:dyDescent="0.25">
      <c r="A47" t="s">
        <v>7</v>
      </c>
      <c r="B47">
        <v>0.95499999999999996</v>
      </c>
      <c r="C47">
        <v>1.0029999999999999</v>
      </c>
      <c r="E47">
        <f>B47-B12</f>
        <v>0.97899999999999998</v>
      </c>
    </row>
    <row r="48" spans="1:5" x14ac:dyDescent="0.25">
      <c r="A48" t="s">
        <v>8</v>
      </c>
      <c r="B48">
        <v>0.90600000000000003</v>
      </c>
      <c r="C48">
        <v>0.99199999999999999</v>
      </c>
      <c r="E48">
        <f>B48-B12</f>
        <v>0.93</v>
      </c>
    </row>
    <row r="49" spans="1:5" x14ac:dyDescent="0.25">
      <c r="A49" t="s">
        <v>14</v>
      </c>
      <c r="B49">
        <v>0.91600000000000004</v>
      </c>
      <c r="C49">
        <v>0.998</v>
      </c>
      <c r="E49">
        <f>B49-B12</f>
        <v>0.94000000000000006</v>
      </c>
    </row>
    <row r="50" spans="1:5" x14ac:dyDescent="0.25">
      <c r="A50" t="s">
        <v>15</v>
      </c>
      <c r="B50">
        <v>0.94</v>
      </c>
      <c r="C50">
        <v>1</v>
      </c>
      <c r="E50">
        <f>B50-B12</f>
        <v>0.96399999999999997</v>
      </c>
    </row>
    <row r="51" spans="1:5" x14ac:dyDescent="0.25">
      <c r="A51" t="s">
        <v>16</v>
      </c>
      <c r="B51">
        <v>0.89300000000000002</v>
      </c>
      <c r="C51">
        <v>0.996</v>
      </c>
      <c r="E51">
        <f>B51-B12</f>
        <v>0.91700000000000004</v>
      </c>
    </row>
    <row r="52" spans="1:5" x14ac:dyDescent="0.25">
      <c r="A52" t="s">
        <v>17</v>
      </c>
      <c r="B52">
        <v>0.97</v>
      </c>
      <c r="C52">
        <v>1.0129999999999999</v>
      </c>
      <c r="E52">
        <f>B52-B12</f>
        <v>0.99399999999999999</v>
      </c>
    </row>
    <row r="53" spans="1:5" x14ac:dyDescent="0.25">
      <c r="A53" t="s">
        <v>18</v>
      </c>
      <c r="B53">
        <f>AVERAGE(B46:B52)-$B$12</f>
        <v>0.95642857142857129</v>
      </c>
      <c r="C53">
        <f>AVERAGE(C46:C52)-$C$12</f>
        <v>1.0118142857142858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Hoang</dc:creator>
  <cp:lastModifiedBy>Duy Hoang</cp:lastModifiedBy>
  <dcterms:created xsi:type="dcterms:W3CDTF">2025-11-04T07:19:47Z</dcterms:created>
  <dcterms:modified xsi:type="dcterms:W3CDTF">2025-11-04T09:58:55Z</dcterms:modified>
</cp:coreProperties>
</file>