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3810" windowHeight="4080" activeTab="2"/>
  </bookViews>
  <sheets>
    <sheet name=" part 1 calculations" sheetId="1" r:id="rId1"/>
    <sheet name="part 2 Calculations" sheetId="2" r:id="rId2"/>
    <sheet name="Titration Curve 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2" l="1"/>
  <c r="B9" i="2"/>
  <c r="B2" i="2"/>
  <c r="B28" i="1"/>
  <c r="B31" i="1" s="1"/>
  <c r="G20" i="1"/>
  <c r="H20" i="1" s="1"/>
  <c r="B27" i="1" s="1"/>
  <c r="G21" i="1"/>
  <c r="H21" i="1" s="1"/>
  <c r="G22" i="1"/>
  <c r="G19" i="1"/>
  <c r="H19" i="1" s="1"/>
  <c r="H22" i="1"/>
  <c r="G23" i="1"/>
  <c r="B7" i="1"/>
  <c r="B1" i="1"/>
  <c r="B29" i="1" l="1"/>
</calcChain>
</file>

<file path=xl/sharedStrings.xml><?xml version="1.0" encoding="utf-8"?>
<sst xmlns="http://schemas.openxmlformats.org/spreadsheetml/2006/main" count="59" uniqueCount="46">
  <si>
    <t>Vi(mL)</t>
  </si>
  <si>
    <t>pH</t>
  </si>
  <si>
    <t xml:space="preserve">mass of KHP required for 250.00 mL of about 0.100 M solution </t>
  </si>
  <si>
    <t>Volume of KHP</t>
  </si>
  <si>
    <t>Molarity of KHP</t>
  </si>
  <si>
    <t>Molar mass of KHP</t>
  </si>
  <si>
    <t>g</t>
  </si>
  <si>
    <t>L</t>
  </si>
  <si>
    <t>mol/L</t>
  </si>
  <si>
    <t>g/mol</t>
  </si>
  <si>
    <t>ml</t>
  </si>
  <si>
    <t>M1</t>
  </si>
  <si>
    <t>M2</t>
  </si>
  <si>
    <t>V2</t>
  </si>
  <si>
    <t>mL</t>
  </si>
  <si>
    <t>MKHP</t>
  </si>
  <si>
    <t>VKHP</t>
  </si>
  <si>
    <t>Run</t>
  </si>
  <si>
    <t>Initial Burette (mL)</t>
  </si>
  <si>
    <t>Final Burette (mL)</t>
  </si>
  <si>
    <t>Volume NaOH (mL)</t>
  </si>
  <si>
    <t>Corrected Volume (mL)</t>
  </si>
  <si>
    <t>[NaOH] (M)</t>
  </si>
  <si>
    <t>Crude</t>
  </si>
  <si>
    <t>T1</t>
  </si>
  <si>
    <t>T2</t>
  </si>
  <si>
    <t>T3</t>
  </si>
  <si>
    <t>Blank</t>
  </si>
  <si>
    <t>Table 1: NaOH Standardization Titration Results</t>
  </si>
  <si>
    <t xml:space="preserve">Statistical Analysis </t>
  </si>
  <si>
    <t xml:space="preserve">Mean NaOH Concentration </t>
  </si>
  <si>
    <t xml:space="preserve">Relative standard deviation </t>
  </si>
  <si>
    <t>t</t>
  </si>
  <si>
    <t>n</t>
  </si>
  <si>
    <t>95% Percent confidence interval (CI)</t>
  </si>
  <si>
    <t>(t.s)/√n</t>
  </si>
  <si>
    <t>Mol/L</t>
  </si>
  <si>
    <t>Standard deviation (s)</t>
  </si>
  <si>
    <t>0.1066±0.0009</t>
  </si>
  <si>
    <t xml:space="preserve">Required volume for 10% stock solution in NaOH solution preparation(V1) </t>
  </si>
  <si>
    <t>unknown acid concentration</t>
  </si>
  <si>
    <t>Equivalence point Estimation</t>
  </si>
  <si>
    <t>First half-equivalence point(V=V1/2)</t>
  </si>
  <si>
    <t>second half-equivalence point (V = V₁ + (V₂ - V₁)/2 )</t>
  </si>
  <si>
    <t>V1(1st equivaelence point)</t>
  </si>
  <si>
    <t>V2(second equivalence 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</si>
</sst>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9" formatCode="0.000000"/>
    <numFmt numFmtId="171" formatCode="0.0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9" fontId="0" fillId="0" borderId="0" xfId="0" applyNumberFormat="1"/>
    <xf numFmtId="171" fontId="0" fillId="0" borderId="0" xfId="0" applyNumberFormat="1"/>
    <xf numFmtId="0" fontId="0" fillId="2" borderId="0" xfId="0" applyFill="1" applyAlignment="1">
      <alignment horizontal="center"/>
    </xf>
    <xf numFmtId="0" fontId="1" fillId="2" borderId="0" xfId="0" applyFont="1" applyFill="1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Titration</a:t>
            </a:r>
            <a:r>
              <a:rPr lang="en-US" baseline="0"/>
              <a:t> Curve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'Titration Curve '!$B$1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'Titration Curve '!$A$2:$A$38</c:f>
              <c:numCache>
                <c:formatCode>General</c:formatCode>
                <c:ptCount val="37"/>
                <c:pt idx="0">
                  <c:v>0.95</c:v>
                </c:pt>
                <c:pt idx="1">
                  <c:v>1.9</c:v>
                </c:pt>
                <c:pt idx="2">
                  <c:v>3.03</c:v>
                </c:pt>
                <c:pt idx="3">
                  <c:v>4</c:v>
                </c:pt>
                <c:pt idx="4">
                  <c:v>4.9800000000000004</c:v>
                </c:pt>
                <c:pt idx="5">
                  <c:v>5.51</c:v>
                </c:pt>
                <c:pt idx="6">
                  <c:v>5.75</c:v>
                </c:pt>
                <c:pt idx="7">
                  <c:v>5.99</c:v>
                </c:pt>
                <c:pt idx="8">
                  <c:v>6.2</c:v>
                </c:pt>
                <c:pt idx="9">
                  <c:v>6.39</c:v>
                </c:pt>
                <c:pt idx="10">
                  <c:v>6.61</c:v>
                </c:pt>
                <c:pt idx="11">
                  <c:v>6.8</c:v>
                </c:pt>
                <c:pt idx="12">
                  <c:v>7</c:v>
                </c:pt>
                <c:pt idx="13">
                  <c:v>7.2</c:v>
                </c:pt>
                <c:pt idx="14">
                  <c:v>7.41</c:v>
                </c:pt>
                <c:pt idx="15">
                  <c:v>7.76</c:v>
                </c:pt>
                <c:pt idx="16">
                  <c:v>8.7100000000000009</c:v>
                </c:pt>
                <c:pt idx="17">
                  <c:v>9.75</c:v>
                </c:pt>
                <c:pt idx="18">
                  <c:v>10.75</c:v>
                </c:pt>
                <c:pt idx="19">
                  <c:v>10.98</c:v>
                </c:pt>
                <c:pt idx="20">
                  <c:v>11.19</c:v>
                </c:pt>
                <c:pt idx="21">
                  <c:v>11.49</c:v>
                </c:pt>
                <c:pt idx="22">
                  <c:v>11.7</c:v>
                </c:pt>
                <c:pt idx="23">
                  <c:v>11.9</c:v>
                </c:pt>
                <c:pt idx="24">
                  <c:v>12.1</c:v>
                </c:pt>
                <c:pt idx="25">
                  <c:v>12.4</c:v>
                </c:pt>
                <c:pt idx="26">
                  <c:v>12.64</c:v>
                </c:pt>
                <c:pt idx="27">
                  <c:v>12.95</c:v>
                </c:pt>
                <c:pt idx="28">
                  <c:v>13.19</c:v>
                </c:pt>
                <c:pt idx="29">
                  <c:v>13.41</c:v>
                </c:pt>
                <c:pt idx="30">
                  <c:v>13.6</c:v>
                </c:pt>
                <c:pt idx="31">
                  <c:v>13.8</c:v>
                </c:pt>
                <c:pt idx="32">
                  <c:v>14.8</c:v>
                </c:pt>
                <c:pt idx="33">
                  <c:v>15.78</c:v>
                </c:pt>
                <c:pt idx="34">
                  <c:v>16.75</c:v>
                </c:pt>
                <c:pt idx="35">
                  <c:v>18.09</c:v>
                </c:pt>
                <c:pt idx="36">
                  <c:v>19.010000000000002</c:v>
                </c:pt>
              </c:numCache>
            </c:numRef>
          </c:xVal>
          <c:yVal>
            <c:numRef>
              <c:f>'Titration Curve '!$B$2:$B$38</c:f>
              <c:numCache>
                <c:formatCode>General</c:formatCode>
                <c:ptCount val="37"/>
                <c:pt idx="0">
                  <c:v>2.23</c:v>
                </c:pt>
                <c:pt idx="1">
                  <c:v>2.21</c:v>
                </c:pt>
                <c:pt idx="2">
                  <c:v>2.2200000000000002</c:v>
                </c:pt>
                <c:pt idx="3">
                  <c:v>2.2400000000000002</c:v>
                </c:pt>
                <c:pt idx="4">
                  <c:v>2.35</c:v>
                </c:pt>
                <c:pt idx="5">
                  <c:v>2.39</c:v>
                </c:pt>
                <c:pt idx="6">
                  <c:v>2.4300000000000002</c:v>
                </c:pt>
                <c:pt idx="7">
                  <c:v>2.48</c:v>
                </c:pt>
                <c:pt idx="8">
                  <c:v>2.54</c:v>
                </c:pt>
                <c:pt idx="9">
                  <c:v>2.62</c:v>
                </c:pt>
                <c:pt idx="10">
                  <c:v>2.69</c:v>
                </c:pt>
                <c:pt idx="11">
                  <c:v>2.77</c:v>
                </c:pt>
                <c:pt idx="12">
                  <c:v>2.85</c:v>
                </c:pt>
                <c:pt idx="13">
                  <c:v>2.94</c:v>
                </c:pt>
                <c:pt idx="14">
                  <c:v>3.04</c:v>
                </c:pt>
                <c:pt idx="15">
                  <c:v>3.19</c:v>
                </c:pt>
                <c:pt idx="16">
                  <c:v>3.49</c:v>
                </c:pt>
                <c:pt idx="17">
                  <c:v>3.79</c:v>
                </c:pt>
                <c:pt idx="18">
                  <c:v>4.09</c:v>
                </c:pt>
                <c:pt idx="19">
                  <c:v>4.17</c:v>
                </c:pt>
                <c:pt idx="20">
                  <c:v>4.26</c:v>
                </c:pt>
                <c:pt idx="21">
                  <c:v>4.38</c:v>
                </c:pt>
                <c:pt idx="22">
                  <c:v>4.51</c:v>
                </c:pt>
                <c:pt idx="23">
                  <c:v>4.63</c:v>
                </c:pt>
                <c:pt idx="24">
                  <c:v>4.8</c:v>
                </c:pt>
                <c:pt idx="25">
                  <c:v>5.3</c:v>
                </c:pt>
                <c:pt idx="26">
                  <c:v>7.82</c:v>
                </c:pt>
                <c:pt idx="27">
                  <c:v>10.52</c:v>
                </c:pt>
                <c:pt idx="28">
                  <c:v>10.86</c:v>
                </c:pt>
                <c:pt idx="29">
                  <c:v>11.08</c:v>
                </c:pt>
                <c:pt idx="30">
                  <c:v>11.19</c:v>
                </c:pt>
                <c:pt idx="31">
                  <c:v>11.28</c:v>
                </c:pt>
                <c:pt idx="32">
                  <c:v>11.55</c:v>
                </c:pt>
                <c:pt idx="33">
                  <c:v>11.7</c:v>
                </c:pt>
                <c:pt idx="34">
                  <c:v>11.8</c:v>
                </c:pt>
                <c:pt idx="35">
                  <c:v>11.86</c:v>
                </c:pt>
                <c:pt idx="36">
                  <c:v>11.91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CF-4C2F-8220-58FDFD980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14799"/>
        <c:axId val="191309391"/>
      </c:scatterChart>
      <c:valAx>
        <c:axId val="19131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</a:t>
                </a:r>
                <a:r>
                  <a:rPr lang="en-US" baseline="0"/>
                  <a:t>(mL)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09391"/>
        <c:crosses val="autoZero"/>
        <c:crossBetween val="midCat"/>
      </c:valAx>
      <c:valAx>
        <c:axId val="19130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1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266700</xdr:colOff>
      <xdr:row>5</xdr:row>
      <xdr:rowOff>25400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600"/>
          <a:ext cx="2667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311150</xdr:colOff>
      <xdr:row>6</xdr:row>
      <xdr:rowOff>6350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0750"/>
          <a:ext cx="3111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361950</xdr:colOff>
      <xdr:row>2</xdr:row>
      <xdr:rowOff>6350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3619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438150</xdr:colOff>
      <xdr:row>4</xdr:row>
      <xdr:rowOff>6350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4381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21</xdr:row>
      <xdr:rowOff>69850</xdr:rowOff>
    </xdr:from>
    <xdr:to>
      <xdr:col>13</xdr:col>
      <xdr:colOff>260349</xdr:colOff>
      <xdr:row>39</xdr:row>
      <xdr:rowOff>107950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577850</xdr:colOff>
      <xdr:row>34</xdr:row>
      <xdr:rowOff>12700</xdr:rowOff>
    </xdr:from>
    <xdr:to>
      <xdr:col>8</xdr:col>
      <xdr:colOff>133350</xdr:colOff>
      <xdr:row>36</xdr:row>
      <xdr:rowOff>95250</xdr:rowOff>
    </xdr:to>
    <xdr:sp macro="" textlink="">
      <xdr:nvSpPr>
        <xdr:cNvPr id="4" name="Freeform 3"/>
        <xdr:cNvSpPr/>
      </xdr:nvSpPr>
      <xdr:spPr>
        <a:xfrm>
          <a:off x="4260850" y="6273800"/>
          <a:ext cx="1384300" cy="450850"/>
        </a:xfrm>
        <a:custGeom>
          <a:avLst/>
          <a:gdLst>
            <a:gd name="connsiteX0" fmla="*/ 1384300 w 1384300"/>
            <a:gd name="connsiteY0" fmla="*/ 450850 h 450850"/>
            <a:gd name="connsiteX1" fmla="*/ 1384300 w 1384300"/>
            <a:gd name="connsiteY1" fmla="*/ 0 h 450850"/>
            <a:gd name="connsiteX2" fmla="*/ 0 w 1384300"/>
            <a:gd name="connsiteY2" fmla="*/ 31750 h 4508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84300" h="450850">
              <a:moveTo>
                <a:pt x="1384300" y="450850"/>
              </a:moveTo>
              <a:lnTo>
                <a:pt x="1384300" y="0"/>
              </a:lnTo>
              <a:lnTo>
                <a:pt x="0" y="31750"/>
              </a:ln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603250</xdr:colOff>
      <xdr:row>27</xdr:row>
      <xdr:rowOff>0</xdr:rowOff>
    </xdr:from>
    <xdr:to>
      <xdr:col>10</xdr:col>
      <xdr:colOff>361950</xdr:colOff>
      <xdr:row>36</xdr:row>
      <xdr:rowOff>88900</xdr:rowOff>
    </xdr:to>
    <xdr:sp macro="" textlink="">
      <xdr:nvSpPr>
        <xdr:cNvPr id="11" name="Freeform 10"/>
        <xdr:cNvSpPr/>
      </xdr:nvSpPr>
      <xdr:spPr>
        <a:xfrm>
          <a:off x="4286250" y="4972050"/>
          <a:ext cx="2806700" cy="1746250"/>
        </a:xfrm>
        <a:custGeom>
          <a:avLst/>
          <a:gdLst>
            <a:gd name="connsiteX0" fmla="*/ 2806700 w 2806700"/>
            <a:gd name="connsiteY0" fmla="*/ 1746250 h 1746250"/>
            <a:gd name="connsiteX1" fmla="*/ 2806700 w 2806700"/>
            <a:gd name="connsiteY1" fmla="*/ 0 h 1746250"/>
            <a:gd name="connsiteX2" fmla="*/ 0 w 2806700"/>
            <a:gd name="connsiteY2" fmla="*/ 12700 h 17462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806700" h="1746250">
              <a:moveTo>
                <a:pt x="2806700" y="1746250"/>
              </a:moveTo>
              <a:lnTo>
                <a:pt x="2806700" y="0"/>
              </a:lnTo>
              <a:lnTo>
                <a:pt x="0" y="12700"/>
              </a:ln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342900</xdr:colOff>
      <xdr:row>26</xdr:row>
      <xdr:rowOff>120650</xdr:rowOff>
    </xdr:from>
    <xdr:to>
      <xdr:col>6</xdr:col>
      <xdr:colOff>0</xdr:colOff>
      <xdr:row>27</xdr:row>
      <xdr:rowOff>12700</xdr:rowOff>
    </xdr:to>
    <xdr:cxnSp macro="">
      <xdr:nvCxnSpPr>
        <xdr:cNvPr id="13" name="Straight Connector 12"/>
        <xdr:cNvCxnSpPr/>
      </xdr:nvCxnSpPr>
      <xdr:spPr>
        <a:xfrm flipH="1" flipV="1">
          <a:off x="4025900" y="4908550"/>
          <a:ext cx="266700" cy="76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520700</xdr:colOff>
      <xdr:row>25</xdr:row>
      <xdr:rowOff>101600</xdr:rowOff>
    </xdr:from>
    <xdr:to>
      <xdr:col>6</xdr:col>
      <xdr:colOff>184150</xdr:colOff>
      <xdr:row>27</xdr:row>
      <xdr:rowOff>95250</xdr:rowOff>
    </xdr:to>
    <xdr:sp macro="" textlink="">
      <xdr:nvSpPr>
        <xdr:cNvPr id="14" name="TextBox 13"/>
        <xdr:cNvSpPr txBox="1"/>
      </xdr:nvSpPr>
      <xdr:spPr>
        <a:xfrm>
          <a:off x="3594100" y="4705350"/>
          <a:ext cx="882650" cy="3619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=10.5</a:t>
          </a:r>
        </a:p>
        <a:p>
          <a:endParaRPr lang="en-US" sz="1100"/>
        </a:p>
      </xdr:txBody>
    </xdr:sp>
    <xdr:clientData/>
  </xdr:twoCellAnchor>
  <xdr:twoCellAnchor>
    <xdr:from>
      <xdr:col>6</xdr:col>
      <xdr:colOff>19050</xdr:colOff>
      <xdr:row>32</xdr:row>
      <xdr:rowOff>101600</xdr:rowOff>
    </xdr:from>
    <xdr:to>
      <xdr:col>6</xdr:col>
      <xdr:colOff>330200</xdr:colOff>
      <xdr:row>34</xdr:row>
      <xdr:rowOff>6350</xdr:rowOff>
    </xdr:to>
    <xdr:cxnSp macro="">
      <xdr:nvCxnSpPr>
        <xdr:cNvPr id="16" name="Straight Connector 15"/>
        <xdr:cNvCxnSpPr/>
      </xdr:nvCxnSpPr>
      <xdr:spPr>
        <a:xfrm flipV="1">
          <a:off x="4311650" y="5994400"/>
          <a:ext cx="311150" cy="273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368300</xdr:colOff>
      <xdr:row>31</xdr:row>
      <xdr:rowOff>50800</xdr:rowOff>
    </xdr:from>
    <xdr:to>
      <xdr:col>8</xdr:col>
      <xdr:colOff>57150</xdr:colOff>
      <xdr:row>33</xdr:row>
      <xdr:rowOff>69850</xdr:rowOff>
    </xdr:to>
    <xdr:sp macro="" textlink="">
      <xdr:nvSpPr>
        <xdr:cNvPr id="17" name="TextBox 16"/>
        <xdr:cNvSpPr txBox="1"/>
      </xdr:nvSpPr>
      <xdr:spPr>
        <a:xfrm>
          <a:off x="4660900" y="5759450"/>
          <a:ext cx="908050" cy="3873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=2.6</a:t>
          </a:r>
        </a:p>
        <a:p>
          <a:endParaRPr lang="en-US" sz="1100"/>
        </a:p>
      </xdr:txBody>
    </xdr:sp>
    <xdr:clientData/>
  </xdr:twoCellAnchor>
  <xdr:twoCellAnchor>
    <xdr:from>
      <xdr:col>8</xdr:col>
      <xdr:colOff>177800</xdr:colOff>
      <xdr:row>35</xdr:row>
      <xdr:rowOff>50800</xdr:rowOff>
    </xdr:from>
    <xdr:to>
      <xdr:col>8</xdr:col>
      <xdr:colOff>311150</xdr:colOff>
      <xdr:row>36</xdr:row>
      <xdr:rowOff>57150</xdr:rowOff>
    </xdr:to>
    <xdr:cxnSp macro="">
      <xdr:nvCxnSpPr>
        <xdr:cNvPr id="19" name="Straight Connector 18"/>
        <xdr:cNvCxnSpPr/>
      </xdr:nvCxnSpPr>
      <xdr:spPr>
        <a:xfrm flipV="1">
          <a:off x="5689600" y="6496050"/>
          <a:ext cx="133350" cy="190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292100</xdr:colOff>
      <xdr:row>34</xdr:row>
      <xdr:rowOff>12700</xdr:rowOff>
    </xdr:from>
    <xdr:to>
      <xdr:col>10</xdr:col>
      <xdr:colOff>234950</xdr:colOff>
      <xdr:row>36</xdr:row>
      <xdr:rowOff>69850</xdr:rowOff>
    </xdr:to>
    <xdr:sp macro="" textlink="">
      <xdr:nvSpPr>
        <xdr:cNvPr id="21" name="TextBox 20"/>
        <xdr:cNvSpPr txBox="1"/>
      </xdr:nvSpPr>
      <xdr:spPr>
        <a:xfrm>
          <a:off x="5803900" y="6273800"/>
          <a:ext cx="1162050" cy="4254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0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half-equivalent point V1/2=6.32ml</a:t>
          </a:r>
        </a:p>
        <a:p>
          <a:endParaRPr lang="en-US" sz="1000"/>
        </a:p>
      </xdr:txBody>
    </xdr:sp>
    <xdr:clientData/>
  </xdr:twoCellAnchor>
  <xdr:twoCellAnchor>
    <xdr:from>
      <xdr:col>10</xdr:col>
      <xdr:colOff>374650</xdr:colOff>
      <xdr:row>36</xdr:row>
      <xdr:rowOff>101600</xdr:rowOff>
    </xdr:from>
    <xdr:to>
      <xdr:col>12</xdr:col>
      <xdr:colOff>304800</xdr:colOff>
      <xdr:row>38</xdr:row>
      <xdr:rowOff>12700</xdr:rowOff>
    </xdr:to>
    <xdr:cxnSp macro="">
      <xdr:nvCxnSpPr>
        <xdr:cNvPr id="23" name="Straight Connector 22"/>
        <xdr:cNvCxnSpPr/>
      </xdr:nvCxnSpPr>
      <xdr:spPr>
        <a:xfrm>
          <a:off x="7105650" y="6731000"/>
          <a:ext cx="1149350" cy="279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215900</xdr:colOff>
      <xdr:row>37</xdr:row>
      <xdr:rowOff>57150</xdr:rowOff>
    </xdr:from>
    <xdr:to>
      <xdr:col>13</xdr:col>
      <xdr:colOff>527050</xdr:colOff>
      <xdr:row>42</xdr:row>
      <xdr:rowOff>25400</xdr:rowOff>
    </xdr:to>
    <xdr:sp macro="" textlink="">
      <xdr:nvSpPr>
        <xdr:cNvPr id="24" name="TextBox 23"/>
        <xdr:cNvSpPr txBox="1"/>
      </xdr:nvSpPr>
      <xdr:spPr>
        <a:xfrm>
          <a:off x="8166100" y="6870700"/>
          <a:ext cx="920750" cy="889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half equivalent point=12.82mL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US" sz="1100"/>
        </a:p>
      </xdr:txBody>
    </xdr:sp>
    <xdr:clientData/>
  </xdr:twoCellAnchor>
  <xdr:twoCellAnchor>
    <xdr:from>
      <xdr:col>10</xdr:col>
      <xdr:colOff>311150</xdr:colOff>
      <xdr:row>36</xdr:row>
      <xdr:rowOff>107950</xdr:rowOff>
    </xdr:from>
    <xdr:to>
      <xdr:col>10</xdr:col>
      <xdr:colOff>463550</xdr:colOff>
      <xdr:row>38</xdr:row>
      <xdr:rowOff>82550</xdr:rowOff>
    </xdr:to>
    <xdr:cxnSp macro="">
      <xdr:nvCxnSpPr>
        <xdr:cNvPr id="27" name="Straight Connector 26"/>
        <xdr:cNvCxnSpPr/>
      </xdr:nvCxnSpPr>
      <xdr:spPr>
        <a:xfrm>
          <a:off x="7042150" y="6737350"/>
          <a:ext cx="152400" cy="342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412750</xdr:colOff>
      <xdr:row>38</xdr:row>
      <xdr:rowOff>6350</xdr:rowOff>
    </xdr:from>
    <xdr:to>
      <xdr:col>12</xdr:col>
      <xdr:colOff>69850</xdr:colOff>
      <xdr:row>39</xdr:row>
      <xdr:rowOff>63500</xdr:rowOff>
    </xdr:to>
    <xdr:sp macro="" textlink="">
      <xdr:nvSpPr>
        <xdr:cNvPr id="28" name="TextBox 27"/>
        <xdr:cNvSpPr txBox="1"/>
      </xdr:nvSpPr>
      <xdr:spPr>
        <a:xfrm>
          <a:off x="7143750" y="7004050"/>
          <a:ext cx="876300" cy="241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V1=12.64mL</a:t>
          </a:r>
        </a:p>
        <a:p>
          <a:endParaRPr lang="en-US" sz="1100"/>
        </a:p>
      </xdr:txBody>
    </xdr:sp>
    <xdr:clientData/>
  </xdr:twoCellAnchor>
  <xdr:twoCellAnchor>
    <xdr:from>
      <xdr:col>11</xdr:col>
      <xdr:colOff>254000</xdr:colOff>
      <xdr:row>34</xdr:row>
      <xdr:rowOff>82550</xdr:rowOff>
    </xdr:from>
    <xdr:to>
      <xdr:col>13</xdr:col>
      <xdr:colOff>38100</xdr:colOff>
      <xdr:row>35</xdr:row>
      <xdr:rowOff>158750</xdr:rowOff>
    </xdr:to>
    <xdr:sp macro="" textlink="">
      <xdr:nvSpPr>
        <xdr:cNvPr id="33" name="TextBox 32"/>
        <xdr:cNvSpPr txBox="1"/>
      </xdr:nvSpPr>
      <xdr:spPr>
        <a:xfrm>
          <a:off x="7594600" y="6343650"/>
          <a:ext cx="1003300" cy="2603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V2=13.0mL</a:t>
          </a:r>
        </a:p>
      </xdr:txBody>
    </xdr:sp>
    <xdr:clientData/>
  </xdr:twoCellAnchor>
  <xdr:twoCellAnchor>
    <xdr:from>
      <xdr:col>10</xdr:col>
      <xdr:colOff>431800</xdr:colOff>
      <xdr:row>35</xdr:row>
      <xdr:rowOff>28575</xdr:rowOff>
    </xdr:from>
    <xdr:to>
      <xdr:col>11</xdr:col>
      <xdr:colOff>254000</xdr:colOff>
      <xdr:row>36</xdr:row>
      <xdr:rowOff>76200</xdr:rowOff>
    </xdr:to>
    <xdr:cxnSp macro="">
      <xdr:nvCxnSpPr>
        <xdr:cNvPr id="35" name="Straight Connector 34"/>
        <xdr:cNvCxnSpPr>
          <a:endCxn id="33" idx="1"/>
        </xdr:cNvCxnSpPr>
      </xdr:nvCxnSpPr>
      <xdr:spPr>
        <a:xfrm flipV="1">
          <a:off x="7162800" y="6473825"/>
          <a:ext cx="431800" cy="2317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603250</xdr:colOff>
      <xdr:row>29</xdr:row>
      <xdr:rowOff>95250</xdr:rowOff>
    </xdr:from>
    <xdr:to>
      <xdr:col>10</xdr:col>
      <xdr:colOff>298450</xdr:colOff>
      <xdr:row>36</xdr:row>
      <xdr:rowOff>101600</xdr:rowOff>
    </xdr:to>
    <xdr:sp macro="" textlink="">
      <xdr:nvSpPr>
        <xdr:cNvPr id="37" name="Freeform 36"/>
        <xdr:cNvSpPr/>
      </xdr:nvSpPr>
      <xdr:spPr>
        <a:xfrm>
          <a:off x="4286250" y="5435600"/>
          <a:ext cx="2743200" cy="1295400"/>
        </a:xfrm>
        <a:custGeom>
          <a:avLst/>
          <a:gdLst>
            <a:gd name="connsiteX0" fmla="*/ 2736850 w 2743200"/>
            <a:gd name="connsiteY0" fmla="*/ 1295400 h 1295400"/>
            <a:gd name="connsiteX1" fmla="*/ 2743200 w 2743200"/>
            <a:gd name="connsiteY1" fmla="*/ 6350 h 1295400"/>
            <a:gd name="connsiteX2" fmla="*/ 0 w 2743200"/>
            <a:gd name="connsiteY2" fmla="*/ 0 h 1295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743200" h="1295400">
              <a:moveTo>
                <a:pt x="2736850" y="1295400"/>
              </a:moveTo>
              <a:cubicBezTo>
                <a:pt x="2738967" y="865717"/>
                <a:pt x="2741083" y="436033"/>
                <a:pt x="2743200" y="6350"/>
              </a:cubicBezTo>
              <a:lnTo>
                <a:pt x="0" y="0"/>
              </a:ln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590550</xdr:colOff>
      <xdr:row>26</xdr:row>
      <xdr:rowOff>165100</xdr:rowOff>
    </xdr:from>
    <xdr:to>
      <xdr:col>10</xdr:col>
      <xdr:colOff>393700</xdr:colOff>
      <xdr:row>36</xdr:row>
      <xdr:rowOff>88900</xdr:rowOff>
    </xdr:to>
    <xdr:sp macro="" textlink="">
      <xdr:nvSpPr>
        <xdr:cNvPr id="40" name="Freeform 39"/>
        <xdr:cNvSpPr/>
      </xdr:nvSpPr>
      <xdr:spPr>
        <a:xfrm>
          <a:off x="4273550" y="4953000"/>
          <a:ext cx="2851150" cy="1765300"/>
        </a:xfrm>
        <a:custGeom>
          <a:avLst/>
          <a:gdLst>
            <a:gd name="connsiteX0" fmla="*/ 2844800 w 2844800"/>
            <a:gd name="connsiteY0" fmla="*/ 1771650 h 1771650"/>
            <a:gd name="connsiteX1" fmla="*/ 2832100 w 2844800"/>
            <a:gd name="connsiteY1" fmla="*/ 6350 h 1771650"/>
            <a:gd name="connsiteX2" fmla="*/ 0 w 2844800"/>
            <a:gd name="connsiteY2" fmla="*/ 0 h 1771650"/>
            <a:gd name="connsiteX3" fmla="*/ 0 w 2844800"/>
            <a:gd name="connsiteY3" fmla="*/ 0 h 17716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844800" h="1771650">
              <a:moveTo>
                <a:pt x="2844800" y="1771650"/>
              </a:moveTo>
              <a:cubicBezTo>
                <a:pt x="2840567" y="1183217"/>
                <a:pt x="2836333" y="594783"/>
                <a:pt x="2832100" y="6350"/>
              </a:cubicBezTo>
              <a:lnTo>
                <a:pt x="0" y="0"/>
              </a:lnTo>
              <a:lnTo>
                <a:pt x="0" y="0"/>
              </a:ln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25400</xdr:colOff>
      <xdr:row>25</xdr:row>
      <xdr:rowOff>120650</xdr:rowOff>
    </xdr:from>
    <xdr:to>
      <xdr:col>6</xdr:col>
      <xdr:colOff>254000</xdr:colOff>
      <xdr:row>26</xdr:row>
      <xdr:rowOff>133350</xdr:rowOff>
    </xdr:to>
    <xdr:cxnSp macro="">
      <xdr:nvCxnSpPr>
        <xdr:cNvPr id="43" name="Straight Connector 42"/>
        <xdr:cNvCxnSpPr/>
      </xdr:nvCxnSpPr>
      <xdr:spPr>
        <a:xfrm flipV="1">
          <a:off x="4318000" y="4724400"/>
          <a:ext cx="228600" cy="196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196850</xdr:colOff>
      <xdr:row>24</xdr:row>
      <xdr:rowOff>139700</xdr:rowOff>
    </xdr:from>
    <xdr:to>
      <xdr:col>7</xdr:col>
      <xdr:colOff>406400</xdr:colOff>
      <xdr:row>26</xdr:row>
      <xdr:rowOff>114300</xdr:rowOff>
    </xdr:to>
    <xdr:sp macro="" textlink="">
      <xdr:nvSpPr>
        <xdr:cNvPr id="44" name="TextBox 43"/>
        <xdr:cNvSpPr txBox="1"/>
      </xdr:nvSpPr>
      <xdr:spPr>
        <a:xfrm>
          <a:off x="4489450" y="4559300"/>
          <a:ext cx="819150" cy="3429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pH=10.52</a:t>
          </a:r>
        </a:p>
      </xdr:txBody>
    </xdr:sp>
    <xdr:clientData/>
  </xdr:twoCellAnchor>
  <xdr:twoCellAnchor>
    <xdr:from>
      <xdr:col>6</xdr:col>
      <xdr:colOff>44450</xdr:colOff>
      <xdr:row>27</xdr:row>
      <xdr:rowOff>171450</xdr:rowOff>
    </xdr:from>
    <xdr:to>
      <xdr:col>7</xdr:col>
      <xdr:colOff>501650</xdr:colOff>
      <xdr:row>29</xdr:row>
      <xdr:rowOff>25400</xdr:rowOff>
    </xdr:to>
    <xdr:sp macro="" textlink="">
      <xdr:nvSpPr>
        <xdr:cNvPr id="45" name="TextBox 44"/>
        <xdr:cNvSpPr txBox="1"/>
      </xdr:nvSpPr>
      <xdr:spPr>
        <a:xfrm>
          <a:off x="4337050" y="5143500"/>
          <a:ext cx="1066800" cy="2222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pH=7.82</a:t>
          </a:r>
        </a:p>
      </xdr:txBody>
    </xdr:sp>
    <xdr:clientData/>
  </xdr:twoCellAnchor>
  <xdr:twoCellAnchor>
    <xdr:from>
      <xdr:col>6</xdr:col>
      <xdr:colOff>6350</xdr:colOff>
      <xdr:row>28</xdr:row>
      <xdr:rowOff>120650</xdr:rowOff>
    </xdr:from>
    <xdr:to>
      <xdr:col>6</xdr:col>
      <xdr:colOff>171450</xdr:colOff>
      <xdr:row>29</xdr:row>
      <xdr:rowOff>88900</xdr:rowOff>
    </xdr:to>
    <xdr:cxnSp macro="">
      <xdr:nvCxnSpPr>
        <xdr:cNvPr id="47" name="Straight Connector 46"/>
        <xdr:cNvCxnSpPr/>
      </xdr:nvCxnSpPr>
      <xdr:spPr>
        <a:xfrm flipH="1">
          <a:off x="4298950" y="5276850"/>
          <a:ext cx="165100" cy="152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1" name="Table1" displayName="Table1" ref="C18:H23" totalsRowShown="0">
  <autoFilter ref="C18:H23"/>
  <tableColumns count="6">
    <tableColumn id="1" name="Run"/>
    <tableColumn id="2" name="Initial Burette (mL)"/>
    <tableColumn id="3" name="Final Burette (mL)"/>
    <tableColumn id="4" name="Volume NaOH (mL)"/>
    <tableColumn id="5" name="Corrected Volume (mL)"/>
    <tableColumn id="6" name="[NaOH] (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zoomScaleNormal="100" workbookViewId="0">
      <selection activeCell="D7" sqref="D7"/>
    </sheetView>
  </sheetViews>
  <sheetFormatPr defaultRowHeight="14.5" x14ac:dyDescent="0.35"/>
  <cols>
    <col min="1" max="1" width="71.36328125" customWidth="1"/>
    <col min="2" max="2" width="30.36328125" customWidth="1"/>
    <col min="3" max="8" width="10.26953125" customWidth="1"/>
  </cols>
  <sheetData>
    <row r="1" spans="1:3" ht="15.5" x14ac:dyDescent="0.35">
      <c r="A1" s="4" t="s">
        <v>2</v>
      </c>
      <c r="B1" s="2">
        <f>(B4*B3*B5)</f>
        <v>5.1055250000000001</v>
      </c>
      <c r="C1" t="s">
        <v>6</v>
      </c>
    </row>
    <row r="3" spans="1:3" x14ac:dyDescent="0.35">
      <c r="A3" t="s">
        <v>3</v>
      </c>
      <c r="B3">
        <v>0.25</v>
      </c>
      <c r="C3" t="s">
        <v>7</v>
      </c>
    </row>
    <row r="4" spans="1:3" x14ac:dyDescent="0.35">
      <c r="A4" t="s">
        <v>4</v>
      </c>
      <c r="B4">
        <v>0.1</v>
      </c>
      <c r="C4" t="s">
        <v>8</v>
      </c>
    </row>
    <row r="5" spans="1:3" x14ac:dyDescent="0.35">
      <c r="A5" t="s">
        <v>5</v>
      </c>
      <c r="B5">
        <v>204.221</v>
      </c>
      <c r="C5" t="s">
        <v>9</v>
      </c>
    </row>
    <row r="7" spans="1:3" x14ac:dyDescent="0.35">
      <c r="A7" s="5" t="s">
        <v>39</v>
      </c>
      <c r="B7">
        <f>(B10*B11)/B9</f>
        <v>20</v>
      </c>
      <c r="C7" t="s">
        <v>10</v>
      </c>
    </row>
    <row r="9" spans="1:3" x14ac:dyDescent="0.35">
      <c r="A9" t="s">
        <v>11</v>
      </c>
      <c r="B9">
        <v>2.5</v>
      </c>
      <c r="C9" t="s">
        <v>8</v>
      </c>
    </row>
    <row r="10" spans="1:3" x14ac:dyDescent="0.35">
      <c r="A10" t="s">
        <v>12</v>
      </c>
      <c r="B10">
        <v>0.1</v>
      </c>
      <c r="C10" t="s">
        <v>8</v>
      </c>
    </row>
    <row r="11" spans="1:3" x14ac:dyDescent="0.35">
      <c r="A11" t="s">
        <v>13</v>
      </c>
      <c r="B11">
        <v>500</v>
      </c>
      <c r="C11" t="s">
        <v>14</v>
      </c>
    </row>
    <row r="14" spans="1:3" x14ac:dyDescent="0.35">
      <c r="A14" t="s">
        <v>15</v>
      </c>
      <c r="B14">
        <v>0.1</v>
      </c>
      <c r="C14" t="s">
        <v>8</v>
      </c>
    </row>
    <row r="15" spans="1:3" x14ac:dyDescent="0.35">
      <c r="A15" t="s">
        <v>16</v>
      </c>
      <c r="B15">
        <v>25</v>
      </c>
      <c r="C15" t="s">
        <v>14</v>
      </c>
    </row>
    <row r="17" spans="1:8" x14ac:dyDescent="0.35">
      <c r="C17" s="3" t="s">
        <v>28</v>
      </c>
      <c r="D17" s="3"/>
      <c r="E17" s="3"/>
      <c r="F17" s="3"/>
      <c r="G17" s="3"/>
      <c r="H17" s="3"/>
    </row>
    <row r="18" spans="1:8" x14ac:dyDescent="0.35"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</row>
    <row r="19" spans="1:8" x14ac:dyDescent="0.35">
      <c r="C19" t="s">
        <v>23</v>
      </c>
      <c r="D19">
        <v>1.95</v>
      </c>
      <c r="E19">
        <v>26.5</v>
      </c>
      <c r="F19">
        <v>24.55</v>
      </c>
      <c r="G19">
        <f>Table1[[#This Row],[Volume NaOH (mL)]]-$F$23</f>
        <v>23.79</v>
      </c>
      <c r="H19" s="2">
        <f>($B$14*$B$15)/Table1[[#This Row],[Corrected Volume (mL)]]</f>
        <v>0.10508617065994115</v>
      </c>
    </row>
    <row r="20" spans="1:8" x14ac:dyDescent="0.35">
      <c r="C20" t="s">
        <v>24</v>
      </c>
      <c r="D20">
        <v>1.05</v>
      </c>
      <c r="E20">
        <v>25.31</v>
      </c>
      <c r="F20">
        <v>24.26</v>
      </c>
      <c r="G20">
        <f>Table1[[#This Row],[Volume NaOH (mL)]]-$F$23</f>
        <v>23.5</v>
      </c>
      <c r="H20" s="2">
        <f>($B$14*$B$15)/Table1[[#This Row],[Corrected Volume (mL)]]</f>
        <v>0.10638297872340426</v>
      </c>
    </row>
    <row r="21" spans="1:8" x14ac:dyDescent="0.35">
      <c r="C21" t="s">
        <v>25</v>
      </c>
      <c r="D21">
        <v>0.19</v>
      </c>
      <c r="E21">
        <v>24.3</v>
      </c>
      <c r="F21">
        <v>24.11</v>
      </c>
      <c r="G21">
        <f>Table1[[#This Row],[Volume NaOH (mL)]]-$F$23</f>
        <v>23.349999999999998</v>
      </c>
      <c r="H21" s="2">
        <f>($B$14*$B$15)/Table1[[#This Row],[Corrected Volume (mL)]]</f>
        <v>0.10706638115631692</v>
      </c>
    </row>
    <row r="22" spans="1:8" x14ac:dyDescent="0.35">
      <c r="C22" t="s">
        <v>26</v>
      </c>
      <c r="D22">
        <v>10.210000000000001</v>
      </c>
      <c r="E22">
        <v>34.450000000000003</v>
      </c>
      <c r="F22">
        <v>24.24</v>
      </c>
      <c r="G22">
        <f>Table1[[#This Row],[Volume NaOH (mL)]]-$F$23</f>
        <v>23.479999999999997</v>
      </c>
      <c r="H22" s="2">
        <f>($B$14*$B$15)/Table1[[#This Row],[Corrected Volume (mL)]]</f>
        <v>0.10647359454855197</v>
      </c>
    </row>
    <row r="23" spans="1:8" x14ac:dyDescent="0.35">
      <c r="C23" t="s">
        <v>27</v>
      </c>
      <c r="D23">
        <v>6.46</v>
      </c>
      <c r="E23">
        <v>7.22</v>
      </c>
      <c r="F23">
        <v>0.76</v>
      </c>
      <c r="G23">
        <f>Table1[[#This Row],[Volume NaOH (mL)]]</f>
        <v>0.76</v>
      </c>
      <c r="H23">
        <v>3.2890000000000001</v>
      </c>
    </row>
    <row r="25" spans="1:8" x14ac:dyDescent="0.35">
      <c r="A25" s="3" t="s">
        <v>29</v>
      </c>
      <c r="B25" s="3"/>
      <c r="C25" s="3"/>
    </row>
    <row r="27" spans="1:8" x14ac:dyDescent="0.35">
      <c r="A27" t="s">
        <v>30</v>
      </c>
      <c r="B27" s="2">
        <f>AVERAGE(H20:H22)</f>
        <v>0.1066409848094244</v>
      </c>
      <c r="C27" t="s">
        <v>8</v>
      </c>
    </row>
    <row r="28" spans="1:8" x14ac:dyDescent="0.35">
      <c r="A28" t="s">
        <v>37</v>
      </c>
      <c r="B28" s="1">
        <f>STDEV(H20:H22)</f>
        <v>3.7117966795601441E-4</v>
      </c>
      <c r="C28" t="s">
        <v>8</v>
      </c>
    </row>
    <row r="29" spans="1:8" x14ac:dyDescent="0.35">
      <c r="A29" t="s">
        <v>31</v>
      </c>
      <c r="B29" s="6">
        <f>(B28/B27)*100</f>
        <v>0.34806474135562504</v>
      </c>
      <c r="C29" t="s">
        <v>8</v>
      </c>
    </row>
    <row r="30" spans="1:8" x14ac:dyDescent="0.35">
      <c r="A30" t="s">
        <v>34</v>
      </c>
      <c r="B30" t="s">
        <v>38</v>
      </c>
      <c r="C30" t="s">
        <v>36</v>
      </c>
    </row>
    <row r="31" spans="1:8" x14ac:dyDescent="0.35">
      <c r="A31" t="s">
        <v>35</v>
      </c>
      <c r="B31" s="2">
        <f>(B33*B28)/SQRT(B34)</f>
        <v>9.2213583125575589E-4</v>
      </c>
    </row>
    <row r="33" spans="1:2" x14ac:dyDescent="0.35">
      <c r="A33" t="s">
        <v>32</v>
      </c>
      <c r="B33">
        <v>4.3029999999999999</v>
      </c>
    </row>
    <row r="34" spans="1:2" x14ac:dyDescent="0.35">
      <c r="A34" t="s">
        <v>33</v>
      </c>
      <c r="B34">
        <v>3</v>
      </c>
    </row>
  </sheetData>
  <mergeCells count="2">
    <mergeCell ref="C17:H17"/>
    <mergeCell ref="A25:C2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F13" sqref="F13"/>
    </sheetView>
  </sheetViews>
  <sheetFormatPr defaultRowHeight="14.5" x14ac:dyDescent="0.35"/>
  <cols>
    <col min="1" max="1" width="47.90625" customWidth="1"/>
    <col min="2" max="2" width="9.36328125" bestFit="1" customWidth="1"/>
  </cols>
  <sheetData>
    <row r="1" spans="1:3" x14ac:dyDescent="0.35">
      <c r="A1" s="3" t="s">
        <v>40</v>
      </c>
      <c r="B1" s="3"/>
    </row>
    <row r="2" spans="1:3" x14ac:dyDescent="0.35">
      <c r="B2" s="2">
        <f>(B4*B5)/B6</f>
        <v>5.1015040000000005E-2</v>
      </c>
      <c r="C2" t="s">
        <v>8</v>
      </c>
    </row>
    <row r="4" spans="1:3" x14ac:dyDescent="0.35">
      <c r="B4">
        <v>0.1009</v>
      </c>
      <c r="C4" t="s">
        <v>8</v>
      </c>
    </row>
    <row r="5" spans="1:3" x14ac:dyDescent="0.35">
      <c r="B5">
        <v>12.64</v>
      </c>
      <c r="C5" t="s">
        <v>14</v>
      </c>
    </row>
    <row r="6" spans="1:3" x14ac:dyDescent="0.35">
      <c r="B6">
        <v>25</v>
      </c>
      <c r="C6" t="s">
        <v>14</v>
      </c>
    </row>
    <row r="8" spans="1:3" x14ac:dyDescent="0.35">
      <c r="A8" s="3" t="s">
        <v>41</v>
      </c>
      <c r="B8" s="3"/>
    </row>
    <row r="9" spans="1:3" x14ac:dyDescent="0.35">
      <c r="A9" t="s">
        <v>42</v>
      </c>
      <c r="B9">
        <f>B10/2</f>
        <v>6.32</v>
      </c>
      <c r="C9" t="s">
        <v>14</v>
      </c>
    </row>
    <row r="10" spans="1:3" x14ac:dyDescent="0.35">
      <c r="A10" t="s">
        <v>44</v>
      </c>
      <c r="B10">
        <v>12.64</v>
      </c>
      <c r="C10" t="s">
        <v>14</v>
      </c>
    </row>
    <row r="12" spans="1:3" x14ac:dyDescent="0.35">
      <c r="A12" t="s">
        <v>43</v>
      </c>
      <c r="B12">
        <f>(B10+((B14-B10)/(2)))</f>
        <v>12.82</v>
      </c>
    </row>
    <row r="14" spans="1:3" x14ac:dyDescent="0.35">
      <c r="A14" t="s">
        <v>45</v>
      </c>
      <c r="B14">
        <v>13</v>
      </c>
    </row>
  </sheetData>
  <mergeCells count="2">
    <mergeCell ref="A1:B1"/>
    <mergeCell ref="A8:B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topLeftCell="A22" workbookViewId="0">
      <selection activeCell="E43" sqref="E43"/>
    </sheetView>
  </sheetViews>
  <sheetFormatPr defaultRowHeight="14.5" x14ac:dyDescent="0.35"/>
  <cols>
    <col min="2" max="2" width="17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0.95</v>
      </c>
      <c r="B2">
        <v>2.23</v>
      </c>
    </row>
    <row r="3" spans="1:2" x14ac:dyDescent="0.35">
      <c r="A3">
        <v>1.9</v>
      </c>
      <c r="B3">
        <v>2.21</v>
      </c>
    </row>
    <row r="4" spans="1:2" x14ac:dyDescent="0.35">
      <c r="A4">
        <v>3.03</v>
      </c>
      <c r="B4">
        <v>2.2200000000000002</v>
      </c>
    </row>
    <row r="5" spans="1:2" x14ac:dyDescent="0.35">
      <c r="A5">
        <v>4</v>
      </c>
      <c r="B5">
        <v>2.2400000000000002</v>
      </c>
    </row>
    <row r="6" spans="1:2" x14ac:dyDescent="0.35">
      <c r="A6">
        <v>4.9800000000000004</v>
      </c>
      <c r="B6">
        <v>2.35</v>
      </c>
    </row>
    <row r="7" spans="1:2" x14ac:dyDescent="0.35">
      <c r="A7">
        <v>5.51</v>
      </c>
      <c r="B7">
        <v>2.39</v>
      </c>
    </row>
    <row r="8" spans="1:2" x14ac:dyDescent="0.35">
      <c r="A8">
        <v>5.75</v>
      </c>
      <c r="B8">
        <v>2.4300000000000002</v>
      </c>
    </row>
    <row r="9" spans="1:2" x14ac:dyDescent="0.35">
      <c r="A9">
        <v>5.99</v>
      </c>
      <c r="B9">
        <v>2.48</v>
      </c>
    </row>
    <row r="10" spans="1:2" x14ac:dyDescent="0.35">
      <c r="A10">
        <v>6.2</v>
      </c>
      <c r="B10">
        <v>2.54</v>
      </c>
    </row>
    <row r="11" spans="1:2" x14ac:dyDescent="0.35">
      <c r="A11">
        <v>6.39</v>
      </c>
      <c r="B11">
        <v>2.62</v>
      </c>
    </row>
    <row r="12" spans="1:2" x14ac:dyDescent="0.35">
      <c r="A12">
        <v>6.61</v>
      </c>
      <c r="B12">
        <v>2.69</v>
      </c>
    </row>
    <row r="13" spans="1:2" x14ac:dyDescent="0.35">
      <c r="A13">
        <v>6.8</v>
      </c>
      <c r="B13">
        <v>2.77</v>
      </c>
    </row>
    <row r="14" spans="1:2" x14ac:dyDescent="0.35">
      <c r="A14">
        <v>7</v>
      </c>
      <c r="B14">
        <v>2.85</v>
      </c>
    </row>
    <row r="15" spans="1:2" x14ac:dyDescent="0.35">
      <c r="A15">
        <v>7.2</v>
      </c>
      <c r="B15">
        <v>2.94</v>
      </c>
    </row>
    <row r="16" spans="1:2" x14ac:dyDescent="0.35">
      <c r="A16">
        <v>7.41</v>
      </c>
      <c r="B16">
        <v>3.04</v>
      </c>
    </row>
    <row r="17" spans="1:2" x14ac:dyDescent="0.35">
      <c r="A17">
        <v>7.76</v>
      </c>
      <c r="B17">
        <v>3.19</v>
      </c>
    </row>
    <row r="18" spans="1:2" x14ac:dyDescent="0.35">
      <c r="A18">
        <v>8.7100000000000009</v>
      </c>
      <c r="B18">
        <v>3.49</v>
      </c>
    </row>
    <row r="19" spans="1:2" x14ac:dyDescent="0.35">
      <c r="A19">
        <v>9.75</v>
      </c>
      <c r="B19">
        <v>3.79</v>
      </c>
    </row>
    <row r="20" spans="1:2" x14ac:dyDescent="0.35">
      <c r="A20">
        <v>10.75</v>
      </c>
      <c r="B20">
        <v>4.09</v>
      </c>
    </row>
    <row r="21" spans="1:2" x14ac:dyDescent="0.35">
      <c r="A21">
        <v>10.98</v>
      </c>
      <c r="B21">
        <v>4.17</v>
      </c>
    </row>
    <row r="22" spans="1:2" x14ac:dyDescent="0.35">
      <c r="A22">
        <v>11.19</v>
      </c>
      <c r="B22">
        <v>4.26</v>
      </c>
    </row>
    <row r="23" spans="1:2" x14ac:dyDescent="0.35">
      <c r="A23">
        <v>11.49</v>
      </c>
      <c r="B23">
        <v>4.38</v>
      </c>
    </row>
    <row r="24" spans="1:2" x14ac:dyDescent="0.35">
      <c r="A24">
        <v>11.7</v>
      </c>
      <c r="B24">
        <v>4.51</v>
      </c>
    </row>
    <row r="25" spans="1:2" x14ac:dyDescent="0.35">
      <c r="A25">
        <v>11.9</v>
      </c>
      <c r="B25">
        <v>4.63</v>
      </c>
    </row>
    <row r="26" spans="1:2" x14ac:dyDescent="0.35">
      <c r="A26">
        <v>12.1</v>
      </c>
      <c r="B26">
        <v>4.8</v>
      </c>
    </row>
    <row r="27" spans="1:2" x14ac:dyDescent="0.35">
      <c r="A27">
        <v>12.4</v>
      </c>
      <c r="B27">
        <v>5.3</v>
      </c>
    </row>
    <row r="28" spans="1:2" x14ac:dyDescent="0.35">
      <c r="A28">
        <v>12.64</v>
      </c>
      <c r="B28">
        <v>7.82</v>
      </c>
    </row>
    <row r="29" spans="1:2" x14ac:dyDescent="0.35">
      <c r="A29">
        <v>12.95</v>
      </c>
      <c r="B29">
        <v>10.52</v>
      </c>
    </row>
    <row r="30" spans="1:2" x14ac:dyDescent="0.35">
      <c r="A30">
        <v>13.19</v>
      </c>
      <c r="B30">
        <v>10.86</v>
      </c>
    </row>
    <row r="31" spans="1:2" x14ac:dyDescent="0.35">
      <c r="A31">
        <v>13.41</v>
      </c>
      <c r="B31">
        <v>11.08</v>
      </c>
    </row>
    <row r="32" spans="1:2" x14ac:dyDescent="0.35">
      <c r="A32">
        <v>13.6</v>
      </c>
      <c r="B32">
        <v>11.19</v>
      </c>
    </row>
    <row r="33" spans="1:2" x14ac:dyDescent="0.35">
      <c r="A33">
        <v>13.8</v>
      </c>
      <c r="B33">
        <v>11.28</v>
      </c>
    </row>
    <row r="34" spans="1:2" x14ac:dyDescent="0.35">
      <c r="A34">
        <v>14.8</v>
      </c>
      <c r="B34">
        <v>11.55</v>
      </c>
    </row>
    <row r="35" spans="1:2" x14ac:dyDescent="0.35">
      <c r="A35">
        <v>15.78</v>
      </c>
      <c r="B35">
        <v>11.7</v>
      </c>
    </row>
    <row r="36" spans="1:2" x14ac:dyDescent="0.35">
      <c r="A36">
        <v>16.75</v>
      </c>
      <c r="B36">
        <v>11.8</v>
      </c>
    </row>
    <row r="37" spans="1:2" x14ac:dyDescent="0.35">
      <c r="A37">
        <v>18.09</v>
      </c>
      <c r="B37">
        <v>11.86</v>
      </c>
    </row>
    <row r="38" spans="1:2" x14ac:dyDescent="0.35">
      <c r="A38">
        <v>19.010000000000002</v>
      </c>
      <c r="B38">
        <v>11.91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part 1 calculations</vt:lpstr>
      <vt:lpstr>part 2 Calculations</vt:lpstr>
      <vt:lpstr>Titration Curve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2025-11-26T22:14:49Z</dcterms:created>
  <dcterms:modified xsi:type="dcterms:W3CDTF">2025-11-26T22:14:49Z</dcterms:modified>
</cp:coreProperties>
</file>