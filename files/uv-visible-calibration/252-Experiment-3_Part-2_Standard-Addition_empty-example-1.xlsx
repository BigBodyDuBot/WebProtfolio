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HEM 310\Labs\"/>
    </mc:Choice>
  </mc:AlternateContent>
  <bookViews>
    <workbookView xWindow="0" yWindow="0" windowWidth="28800" windowHeight="12300"/>
  </bookViews>
  <sheets>
    <sheet name="part1" sheetId="1" r:id="rId1"/>
    <sheet name="par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2" l="1"/>
  <c r="B19" i="2" l="1"/>
  <c r="H9" i="1" l="1"/>
  <c r="G9" i="1"/>
  <c r="C21" i="1" l="1"/>
  <c r="I2" i="1"/>
  <c r="H40" i="2" l="1" a="1"/>
  <c r="H42" i="2" s="1"/>
  <c r="H41" i="2" l="1"/>
  <c r="H43" i="2"/>
  <c r="I40" i="2"/>
  <c r="H44" i="2"/>
  <c r="I43" i="2"/>
  <c r="I41" i="2"/>
  <c r="I44" i="2"/>
  <c r="H40" i="2"/>
  <c r="I42" i="2"/>
  <c r="D48" i="2" l="1"/>
  <c r="F48" i="2" s="1"/>
</calcChain>
</file>

<file path=xl/sharedStrings.xml><?xml version="1.0" encoding="utf-8"?>
<sst xmlns="http://schemas.openxmlformats.org/spreadsheetml/2006/main" count="69" uniqueCount="63">
  <si>
    <t>Concentrations</t>
  </si>
  <si>
    <t>Absorbance</t>
  </si>
  <si>
    <t>Corrected Absorbance</t>
  </si>
  <si>
    <t>SD</t>
  </si>
  <si>
    <t>RSD</t>
  </si>
  <si>
    <t>Absolute Error in Molar Absorptivity</t>
  </si>
  <si>
    <t>Unknown Concentration</t>
  </si>
  <si>
    <t>Mean:</t>
  </si>
  <si>
    <t>Corrected Unknown</t>
  </si>
  <si>
    <t>LINEST</t>
  </si>
  <si>
    <t>Unknown Absorbance</t>
  </si>
  <si>
    <t>Blank</t>
  </si>
  <si>
    <t>Solution1</t>
  </si>
  <si>
    <t>Solution2</t>
  </si>
  <si>
    <t>Solution3</t>
  </si>
  <si>
    <t>Solution4</t>
  </si>
  <si>
    <t>Solution5</t>
  </si>
  <si>
    <t>Mean</t>
  </si>
  <si>
    <t>LOD</t>
  </si>
  <si>
    <t>LOQ</t>
  </si>
  <si>
    <t>Corrected1</t>
  </si>
  <si>
    <t>Corrected2</t>
  </si>
  <si>
    <t>Corrected3</t>
  </si>
  <si>
    <t>Corrected4</t>
  </si>
  <si>
    <t>Corrected5</t>
  </si>
  <si>
    <t>Confidence Interval:</t>
  </si>
  <si>
    <t>Ux</t>
  </si>
  <si>
    <t>Relative Error of Molar Absorptivity</t>
  </si>
  <si>
    <t>RSD of concentration</t>
  </si>
  <si>
    <t>Rel. Er. Of concentration</t>
  </si>
  <si>
    <t>X-intercept</t>
  </si>
  <si>
    <t>Concentration of unknown initial</t>
  </si>
  <si>
    <t>RSD%</t>
  </si>
  <si>
    <t>Relative Erro</t>
  </si>
  <si>
    <t>Confidence interval</t>
  </si>
  <si>
    <t>Absolute Error</t>
  </si>
  <si>
    <t>V: final volume</t>
  </si>
  <si>
    <r>
      <t>V</t>
    </r>
    <r>
      <rPr>
        <vertAlign val="subscript"/>
        <sz val="12"/>
        <color rgb="FFFF0000"/>
        <rFont val="Calibri"/>
        <family val="2"/>
        <scheme val="minor"/>
      </rPr>
      <t>S</t>
    </r>
    <r>
      <rPr>
        <sz val="12"/>
        <color rgb="FFFF0000"/>
        <rFont val="Calibri"/>
        <family val="2"/>
        <scheme val="minor"/>
      </rPr>
      <t>: initial volume of standard</t>
    </r>
  </si>
  <si>
    <r>
      <t>I</t>
    </r>
    <r>
      <rPr>
        <vertAlign val="subscript"/>
        <sz val="12"/>
        <color theme="1"/>
        <rFont val="Calibri"/>
        <family val="2"/>
        <scheme val="minor"/>
      </rPr>
      <t>S+X</t>
    </r>
    <r>
      <rPr>
        <sz val="12"/>
        <color theme="1"/>
        <rFont val="Calibri"/>
        <family val="2"/>
        <scheme val="minor"/>
      </rPr>
      <t>(V/V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 : y axis</t>
    </r>
  </si>
  <si>
    <t>sample 1</t>
  </si>
  <si>
    <t>sample 2</t>
  </si>
  <si>
    <t>sample 3</t>
  </si>
  <si>
    <t>sample 4</t>
  </si>
  <si>
    <t>sample 5</t>
  </si>
  <si>
    <r>
      <t>[S]</t>
    </r>
    <r>
      <rPr>
        <vertAlign val="subscript"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>(V</t>
    </r>
    <r>
      <rPr>
        <vertAlign val="sub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>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</t>
    </r>
  </si>
  <si>
    <r>
      <t>V</t>
    </r>
    <r>
      <rPr>
        <vertAlign val="subscript"/>
        <sz val="12"/>
        <color rgb="FFFF0000"/>
        <rFont val="Calibri"/>
        <family val="2"/>
        <scheme val="minor"/>
      </rPr>
      <t>0</t>
    </r>
    <r>
      <rPr>
        <sz val="12"/>
        <color rgb="FFFF0000"/>
        <rFont val="Calibri"/>
        <family val="2"/>
        <scheme val="minor"/>
      </rPr>
      <t>: initial volume of unknown</t>
    </r>
  </si>
  <si>
    <r>
      <t>[S]</t>
    </r>
    <r>
      <rPr>
        <vertAlign val="subscript"/>
        <sz val="12"/>
        <color rgb="FFFF0000"/>
        <rFont val="Calibri"/>
        <family val="2"/>
        <scheme val="minor"/>
      </rPr>
      <t>i</t>
    </r>
    <r>
      <rPr>
        <sz val="12"/>
        <color rgb="FFFF0000"/>
        <rFont val="Calibri"/>
        <family val="2"/>
        <scheme val="minor"/>
      </rPr>
      <t>=0.0005M  (initial molar concentration of standard)</t>
    </r>
  </si>
  <si>
    <t>slope</t>
  </si>
  <si>
    <t>intercept</t>
  </si>
  <si>
    <t>se(slope)</t>
  </si>
  <si>
    <t>se(intercept)</t>
  </si>
  <si>
    <t>r^2</t>
  </si>
  <si>
    <t>se(y)</t>
  </si>
  <si>
    <t>F</t>
  </si>
  <si>
    <t>df</t>
  </si>
  <si>
    <t>ss reg</t>
  </si>
  <si>
    <t>ss resid</t>
  </si>
  <si>
    <t>10 ml Unknow</t>
  </si>
  <si>
    <t>0 ml of standard</t>
  </si>
  <si>
    <t>5 ml of standard</t>
  </si>
  <si>
    <t>10 ml of standard</t>
  </si>
  <si>
    <t>15 ml of standard</t>
  </si>
  <si>
    <t>20 ml of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</si>
</sst>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bscript"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 Absorbance vs Concentrations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part1!$B$1</c:f>
              <c:strCache>
                <c:ptCount val="1"/>
                <c:pt idx="0">
                  <c:v>Corrected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24039369269978"/>
                  <c:y val="4.1935483870967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part1!$A$2:$A$6</c:f>
              <c:numCache>
                <c:formatCode>General</c:formatCode>
                <c:ptCount val="5"/>
              </c:numCache>
            </c:numRef>
          </c:xVal>
          <c:yVal>
            <c:numRef>
              <c:f>part1!$B$2:$B$6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1-4340-BCA8-61543734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496"/>
        <c:axId val="776194128"/>
      </c:scatterChart>
      <c:valAx>
        <c:axId val="7761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4128"/>
        <c:crosses val="autoZero"/>
        <c:crossBetween val="midCat"/>
      </c:valAx>
      <c:valAx>
        <c:axId val="7761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Addition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part2!$E$24:$E$38</c:f>
              <c:numCache>
                <c:formatCode>General</c:formatCode>
                <c:ptCount val="15"/>
              </c:numCache>
            </c:numRef>
          </c:xVal>
          <c:yVal>
            <c:numRef>
              <c:f>part2!$F$24:$F$38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F-4E2F-BA2C-C18CC41BF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517112"/>
        <c:axId val="543523672"/>
      </c:scatterChart>
      <c:valAx>
        <c:axId val="543517112"/>
        <c:scaling>
          <c:orientation val="minMax"/>
          <c:min val="-1.0000000000000002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3672"/>
        <c:crosses val="autoZero"/>
        <c:crossBetween val="midCat"/>
      </c:valAx>
      <c:valAx>
        <c:axId val="543523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71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391405</xdr:colOff>
      <xdr:row>0</xdr:row>
      <xdr:rowOff>51801</xdr:rowOff>
    </xdr:from>
    <xdr:to>
      <xdr:col>16</xdr:col>
      <xdr:colOff>10405</xdr:colOff>
      <xdr:row>13</xdr:row>
      <xdr:rowOff>154308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44FB-367C-D64F-9682-D3F9B62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571501</xdr:colOff>
      <xdr:row>22</xdr:row>
      <xdr:rowOff>228203</xdr:rowOff>
    </xdr:from>
    <xdr:to>
      <xdr:col>12</xdr:col>
      <xdr:colOff>142876</xdr:colOff>
      <xdr:row>38</xdr:row>
      <xdr:rowOff>42070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53</xdr:row>
      <xdr:rowOff>1</xdr:rowOff>
    </xdr:from>
    <xdr:to>
      <xdr:col>9</xdr:col>
      <xdr:colOff>443728</xdr:colOff>
      <xdr:row>61</xdr:row>
      <xdr:rowOff>128985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7699376"/>
          <a:ext cx="6347244" cy="1716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148828</xdr:colOff>
      <xdr:row>15</xdr:row>
      <xdr:rowOff>19843</xdr:rowOff>
    </xdr:from>
    <xdr:to>
      <xdr:col>11</xdr:col>
      <xdr:colOff>175759</xdr:colOff>
      <xdr:row>20</xdr:row>
      <xdr:rowOff>168670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578" y="2718593"/>
          <a:ext cx="7597322" cy="114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24" sqref="E24"/>
    </sheetView>
  </sheetViews>
  <sheetFormatPr defaultColWidth="11" defaultRowHeight="15.75" x14ac:dyDescent="0.25"/>
  <cols>
    <col min="4" max="4" width="12.5" bestFit="1" customWidth="1"/>
    <col min="5" max="5" width="11.375" bestFit="1" customWidth="1"/>
  </cols>
  <sheetData>
    <row r="1" spans="1:9" x14ac:dyDescent="0.2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27</v>
      </c>
      <c r="G1" t="s">
        <v>10</v>
      </c>
      <c r="H1" t="s">
        <v>8</v>
      </c>
      <c r="I1" t="s">
        <v>6</v>
      </c>
    </row>
    <row r="2" spans="1:9" x14ac:dyDescent="0.25">
      <c r="I2" t="e">
        <f>(H9-J9)/I9</f>
        <v>#DIV/0!</v>
      </c>
    </row>
    <row r="8" spans="1:9" x14ac:dyDescent="0.25">
      <c r="I8" s="1" t="s">
        <v>9</v>
      </c>
    </row>
    <row r="9" spans="1:9" x14ac:dyDescent="0.25">
      <c r="A9">
        <v>5.5E-2</v>
      </c>
      <c r="F9" s="1" t="s">
        <v>7</v>
      </c>
      <c r="G9" t="e">
        <f>AVERAGE(G2:G8)</f>
        <v>#DIV/0!</v>
      </c>
      <c r="H9" t="e">
        <f>AVERAGE(H2:H8)</f>
        <v>#DIV/0!</v>
      </c>
    </row>
    <row r="10" spans="1:9" x14ac:dyDescent="0.25">
      <c r="A10">
        <v>5.2999999999999999E-2</v>
      </c>
    </row>
    <row r="11" spans="1:9" x14ac:dyDescent="0.25">
      <c r="A11">
        <v>4.8000000000000001E-2</v>
      </c>
    </row>
    <row r="12" spans="1:9" x14ac:dyDescent="0.25">
      <c r="A12">
        <v>0.05</v>
      </c>
    </row>
    <row r="13" spans="1:9" x14ac:dyDescent="0.25">
      <c r="A13">
        <v>5.2999999999999999E-2</v>
      </c>
    </row>
    <row r="14" spans="1:9" x14ac:dyDescent="0.25">
      <c r="A14">
        <v>4.3999999999999997E-2</v>
      </c>
    </row>
    <row r="15" spans="1:9" x14ac:dyDescent="0.25">
      <c r="A15">
        <v>5.2999999999999999E-2</v>
      </c>
      <c r="G15" t="s">
        <v>26</v>
      </c>
      <c r="H15" t="s">
        <v>28</v>
      </c>
      <c r="I15" t="s">
        <v>29</v>
      </c>
    </row>
    <row r="16" spans="1:9" x14ac:dyDescent="0.25">
      <c r="A16">
        <v>5.0999999999999997E-2</v>
      </c>
    </row>
    <row r="17" spans="1:5" x14ac:dyDescent="0.25">
      <c r="A17">
        <v>5.1999999999999998E-2</v>
      </c>
    </row>
    <row r="18" spans="1:5" x14ac:dyDescent="0.25">
      <c r="A18">
        <v>4.9000000000000002E-2</v>
      </c>
      <c r="B18" s="1" t="s">
        <v>17</v>
      </c>
      <c r="C18" s="1" t="s">
        <v>3</v>
      </c>
      <c r="D18" s="1" t="s">
        <v>18</v>
      </c>
      <c r="E18" s="1" t="s">
        <v>19</v>
      </c>
    </row>
    <row r="21" spans="1:5" x14ac:dyDescent="0.25">
      <c r="A21" t="s">
        <v>25</v>
      </c>
      <c r="C21">
        <f>(I10*2.776)/SQRT(5)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96" zoomScaleNormal="96" workbookViewId="0">
      <selection activeCell="E14" sqref="E14"/>
    </sheetView>
  </sheetViews>
  <sheetFormatPr defaultColWidth="11" defaultRowHeight="15.75" x14ac:dyDescent="0.25"/>
  <cols>
    <col min="2" max="2" width="13.5" bestFit="1" customWidth="1"/>
    <col min="4" max="4" width="13.25" bestFit="1" customWidth="1"/>
    <col min="5" max="5" width="14.625" bestFit="1" customWidth="1"/>
    <col min="6" max="6" width="12.875" customWidth="1"/>
    <col min="7" max="7" width="12.625" customWidth="1"/>
    <col min="8" max="8" width="13.125" customWidth="1"/>
  </cols>
  <sheetData>
    <row r="1" spans="1:13" x14ac:dyDescent="0.25">
      <c r="B1" s="5" t="s">
        <v>11</v>
      </c>
      <c r="D1" s="6" t="s">
        <v>57</v>
      </c>
      <c r="E1" s="6" t="s">
        <v>57</v>
      </c>
      <c r="F1" s="6" t="s">
        <v>57</v>
      </c>
      <c r="G1" s="6" t="s">
        <v>57</v>
      </c>
      <c r="H1" s="6" t="s">
        <v>57</v>
      </c>
    </row>
    <row r="2" spans="1:13" x14ac:dyDescent="0.25">
      <c r="B2">
        <v>2E-3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</row>
    <row r="3" spans="1:13" x14ac:dyDescent="0.25">
      <c r="B3">
        <v>4.0000000000000001E-3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13" x14ac:dyDescent="0.25">
      <c r="B4">
        <v>5.0000000000000001E-3</v>
      </c>
      <c r="D4">
        <v>0.112</v>
      </c>
      <c r="E4">
        <v>0.16800000000000001</v>
      </c>
      <c r="F4">
        <v>0.218</v>
      </c>
      <c r="G4">
        <v>0.26400000000000001</v>
      </c>
      <c r="H4">
        <v>0.314</v>
      </c>
    </row>
    <row r="5" spans="1:13" x14ac:dyDescent="0.25">
      <c r="B5">
        <v>4.0000000000000001E-3</v>
      </c>
      <c r="D5">
        <v>0.11700000000000001</v>
      </c>
      <c r="E5">
        <v>0.16600000000000001</v>
      </c>
      <c r="F5">
        <v>0.216</v>
      </c>
      <c r="G5">
        <v>0.26400000000000001</v>
      </c>
      <c r="H5">
        <v>0.311</v>
      </c>
    </row>
    <row r="6" spans="1:13" x14ac:dyDescent="0.25">
      <c r="B6">
        <v>5.0000000000000001E-3</v>
      </c>
      <c r="D6">
        <v>0.11700000000000001</v>
      </c>
      <c r="E6">
        <v>0.16700000000000001</v>
      </c>
      <c r="F6">
        <v>0.221</v>
      </c>
      <c r="G6">
        <v>0.26200000000000001</v>
      </c>
      <c r="H6">
        <v>0.313</v>
      </c>
    </row>
    <row r="7" spans="1:13" x14ac:dyDescent="0.25">
      <c r="B7">
        <v>6.0000000000000001E-3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pans="1:13" x14ac:dyDescent="0.25">
      <c r="B8">
        <v>7.0000000000000001E-3</v>
      </c>
      <c r="D8" s="2"/>
      <c r="E8" s="2"/>
      <c r="F8" s="2"/>
      <c r="G8" s="2"/>
      <c r="H8" s="2"/>
    </row>
    <row r="9" spans="1:13" x14ac:dyDescent="0.25">
      <c r="B9">
        <v>5.0000000000000001E-3</v>
      </c>
      <c r="D9" s="2"/>
      <c r="E9" s="2"/>
      <c r="F9" s="2"/>
      <c r="G9" s="2"/>
      <c r="H9" s="2"/>
    </row>
    <row r="10" spans="1:13" x14ac:dyDescent="0.25">
      <c r="B10">
        <v>4.0000000000000001E-3</v>
      </c>
      <c r="D10" s="2"/>
      <c r="E10" s="2"/>
      <c r="F10" s="2"/>
      <c r="G10" s="2"/>
      <c r="H10" s="2"/>
      <c r="M10" s="1"/>
    </row>
    <row r="11" spans="1:13" x14ac:dyDescent="0.25">
      <c r="A11" s="5" t="s">
        <v>17</v>
      </c>
      <c r="B11" s="2">
        <f>AVERAGE(B2:B10)</f>
        <v>4.6666666666666662E-3</v>
      </c>
      <c r="C11" s="1"/>
    </row>
    <row r="12" spans="1:13" ht="18.75" x14ac:dyDescent="0.35">
      <c r="E12" s="4" t="s">
        <v>36</v>
      </c>
      <c r="G12" s="4" t="s">
        <v>46</v>
      </c>
      <c r="H12" s="4"/>
      <c r="J12" s="4"/>
    </row>
    <row r="13" spans="1:13" ht="18.75" x14ac:dyDescent="0.35">
      <c r="E13" s="4" t="s">
        <v>37</v>
      </c>
      <c r="F13" s="4"/>
      <c r="G13" s="4"/>
      <c r="H13" s="4"/>
      <c r="I13" s="4"/>
      <c r="J13" s="4"/>
    </row>
    <row r="14" spans="1:13" ht="18.75" x14ac:dyDescent="0.35">
      <c r="E14" s="4" t="s">
        <v>45</v>
      </c>
      <c r="F14" s="4"/>
      <c r="G14" s="4"/>
      <c r="H14" s="4"/>
      <c r="I14" s="4"/>
      <c r="J14" s="4"/>
    </row>
    <row r="15" spans="1:13" x14ac:dyDescent="0.25">
      <c r="E15" s="4"/>
      <c r="F15" s="4"/>
      <c r="G15" s="4"/>
      <c r="H15" s="4"/>
      <c r="I15" s="4"/>
      <c r="J15" s="4"/>
    </row>
    <row r="16" spans="1:13" x14ac:dyDescent="0.25">
      <c r="E16" s="4"/>
      <c r="F16" s="4"/>
      <c r="G16" s="4"/>
      <c r="H16" s="4"/>
      <c r="I16" s="4"/>
      <c r="J16" s="4"/>
    </row>
    <row r="17" spans="2:10" x14ac:dyDescent="0.25">
      <c r="E17" s="4"/>
      <c r="F17" s="4"/>
      <c r="G17" s="4"/>
      <c r="H17" s="4"/>
      <c r="I17" s="4"/>
      <c r="J17" s="4"/>
    </row>
    <row r="18" spans="2:10" x14ac:dyDescent="0.25">
      <c r="B18" t="s">
        <v>34</v>
      </c>
      <c r="E18" s="4"/>
      <c r="F18" s="4"/>
      <c r="G18" s="4"/>
      <c r="H18" s="4"/>
      <c r="I18" s="4"/>
      <c r="J18" s="4"/>
    </row>
    <row r="19" spans="2:10" x14ac:dyDescent="0.25">
      <c r="B19">
        <f>D52*2.776/SQRT(5)</f>
        <v>0</v>
      </c>
      <c r="E19" s="4"/>
      <c r="F19" s="4"/>
      <c r="G19" s="4"/>
      <c r="H19" s="4"/>
      <c r="I19" s="4"/>
      <c r="J19" s="4"/>
    </row>
    <row r="20" spans="2:10" x14ac:dyDescent="0.25">
      <c r="E20" s="4"/>
      <c r="F20" s="4"/>
      <c r="G20" s="4"/>
      <c r="H20" s="4"/>
      <c r="I20" s="4"/>
      <c r="J20" s="4"/>
    </row>
    <row r="21" spans="2:10" x14ac:dyDescent="0.25">
      <c r="E21" s="4"/>
      <c r="F21" s="4"/>
      <c r="G21" s="4"/>
      <c r="H21" s="4"/>
      <c r="I21" s="4"/>
      <c r="J21" s="4"/>
    </row>
    <row r="22" spans="2:10" x14ac:dyDescent="0.25">
      <c r="E22" s="4"/>
      <c r="F22" s="4"/>
      <c r="G22" s="4"/>
      <c r="H22" s="4"/>
      <c r="I22" s="4"/>
      <c r="J22" s="4"/>
    </row>
    <row r="23" spans="2:10" ht="18.75" x14ac:dyDescent="0.35">
      <c r="E23" t="s">
        <v>44</v>
      </c>
      <c r="F23" t="s">
        <v>38</v>
      </c>
    </row>
    <row r="24" spans="2:10" x14ac:dyDescent="0.25">
      <c r="D24" s="7" t="s">
        <v>39</v>
      </c>
    </row>
    <row r="25" spans="2:10" x14ac:dyDescent="0.25">
      <c r="D25" s="7"/>
    </row>
    <row r="26" spans="2:10" x14ac:dyDescent="0.25">
      <c r="D26" s="7"/>
    </row>
    <row r="27" spans="2:10" x14ac:dyDescent="0.25">
      <c r="D27" s="7" t="s">
        <v>40</v>
      </c>
    </row>
    <row r="28" spans="2:10" x14ac:dyDescent="0.25">
      <c r="D28" s="7"/>
    </row>
    <row r="29" spans="2:10" x14ac:dyDescent="0.25">
      <c r="D29" s="7"/>
    </row>
    <row r="30" spans="2:10" x14ac:dyDescent="0.25">
      <c r="D30" s="7" t="s">
        <v>41</v>
      </c>
    </row>
    <row r="31" spans="2:10" x14ac:dyDescent="0.25">
      <c r="D31" s="7"/>
    </row>
    <row r="32" spans="2:10" x14ac:dyDescent="0.25">
      <c r="D32" s="7"/>
    </row>
    <row r="33" spans="4:12" x14ac:dyDescent="0.25">
      <c r="D33" s="7" t="s">
        <v>42</v>
      </c>
    </row>
    <row r="34" spans="4:12" x14ac:dyDescent="0.25">
      <c r="D34" s="7"/>
    </row>
    <row r="35" spans="4:12" x14ac:dyDescent="0.25">
      <c r="D35" s="7"/>
    </row>
    <row r="36" spans="4:12" x14ac:dyDescent="0.25">
      <c r="D36" s="7" t="s">
        <v>43</v>
      </c>
    </row>
    <row r="37" spans="4:12" x14ac:dyDescent="0.25">
      <c r="D37" s="7"/>
    </row>
    <row r="38" spans="4:12" x14ac:dyDescent="0.25">
      <c r="D38" s="7"/>
    </row>
    <row r="40" spans="4:12" x14ac:dyDescent="0.25">
      <c r="H40" t="e">
        <f t="array" ref="H40:I44">LINEST(F24:F38,E24:E38,TRUE,TRUE)</f>
        <v>#VALUE!</v>
      </c>
      <c r="I40" t="e">
        <v>#VALUE!</v>
      </c>
      <c r="K40" t="s">
        <v>47</v>
      </c>
      <c r="L40" t="s">
        <v>48</v>
      </c>
    </row>
    <row r="41" spans="4:12" x14ac:dyDescent="0.25">
      <c r="H41" t="e">
        <v>#VALUE!</v>
      </c>
      <c r="I41" t="e">
        <v>#VALUE!</v>
      </c>
      <c r="K41" t="s">
        <v>49</v>
      </c>
      <c r="L41" t="s">
        <v>50</v>
      </c>
    </row>
    <row r="42" spans="4:12" x14ac:dyDescent="0.25">
      <c r="H42" t="e">
        <v>#VALUE!</v>
      </c>
      <c r="I42" t="e">
        <v>#VALUE!</v>
      </c>
      <c r="K42" t="s">
        <v>51</v>
      </c>
      <c r="L42" t="s">
        <v>52</v>
      </c>
    </row>
    <row r="43" spans="4:12" x14ac:dyDescent="0.25">
      <c r="H43" t="e">
        <v>#VALUE!</v>
      </c>
      <c r="I43" t="e">
        <v>#VALUE!</v>
      </c>
      <c r="K43" t="s">
        <v>53</v>
      </c>
      <c r="L43" t="s">
        <v>54</v>
      </c>
    </row>
    <row r="44" spans="4:12" x14ac:dyDescent="0.25">
      <c r="H44" t="e">
        <v>#VALUE!</v>
      </c>
      <c r="I44" t="e">
        <v>#VALUE!</v>
      </c>
      <c r="K44" t="s">
        <v>55</v>
      </c>
      <c r="L44" t="s">
        <v>56</v>
      </c>
    </row>
    <row r="47" spans="4:12" x14ac:dyDescent="0.25">
      <c r="D47" t="s">
        <v>30</v>
      </c>
      <c r="F47" t="s">
        <v>31</v>
      </c>
    </row>
    <row r="48" spans="4:12" x14ac:dyDescent="0.25">
      <c r="D48" t="e">
        <f>-I40/H40</f>
        <v>#VALUE!</v>
      </c>
      <c r="F48" s="2" t="e">
        <f>-D48</f>
        <v>#VALUE!</v>
      </c>
    </row>
    <row r="51" spans="4:7" x14ac:dyDescent="0.25">
      <c r="D51" t="s">
        <v>26</v>
      </c>
      <c r="E51" t="s">
        <v>32</v>
      </c>
      <c r="F51" t="s">
        <v>33</v>
      </c>
      <c r="G51" t="s">
        <v>35</v>
      </c>
    </row>
    <row r="52" spans="4:7" x14ac:dyDescent="0.25">
      <c r="F52" s="3"/>
      <c r="G52" s="2"/>
    </row>
  </sheetData>
  <mergeCells count="5">
    <mergeCell ref="D24:D26"/>
    <mergeCell ref="D27:D29"/>
    <mergeCell ref="D30:D32"/>
    <mergeCell ref="D33:D35"/>
    <mergeCell ref="D36:D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cp:lastPrinted>2020-02-26T04:41:57Z</cp:lastPrinted>
  <dcterms:created xsi:type="dcterms:W3CDTF">2025-10-12T15:22:53Z</dcterms:created>
  <dcterms:modified xsi:type="dcterms:W3CDTF">2025-10-12T15:22:53Z</dcterms:modified>
</cp:coreProperties>
</file>