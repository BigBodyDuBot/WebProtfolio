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uy Hoang\Downloads\"/>
    </mc:Choice>
  </mc:AlternateContent>
  <xr:revisionPtr revIDLastSave="0" documentId="13_ncr:1_{D2274073-044A-42C2-AC87-E595109E7EC8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chart.v1.0" hidden="1">Sheet1!$B$1</definedName>
    <definedName name="_xlchart.v1.1" hidden="1">Sheet1!$B$2:$B$282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1" i="2" l="1"/>
  <c r="E30" i="2"/>
  <c r="E26" i="2"/>
  <c r="AM24" i="2"/>
  <c r="AM23" i="2"/>
  <c r="AM22" i="2"/>
  <c r="O24" i="2"/>
  <c r="O22" i="2"/>
  <c r="O23" i="2"/>
  <c r="I9" i="3"/>
  <c r="AM17" i="2"/>
  <c r="R17" i="2"/>
  <c r="AM18" i="2"/>
  <c r="AM19" i="2"/>
  <c r="R18" i="2"/>
  <c r="R19" i="2"/>
  <c r="AI18" i="2"/>
  <c r="AI17" i="2"/>
  <c r="AI19" i="2"/>
  <c r="F15" i="1"/>
  <c r="E14" i="1"/>
  <c r="E11" i="1"/>
  <c r="F12" i="1"/>
  <c r="F9" i="1"/>
  <c r="E9" i="1"/>
  <c r="E8" i="1"/>
  <c r="F2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E6" i="1"/>
  <c r="F5" i="1"/>
  <c r="F4" i="1"/>
  <c r="F3" i="1"/>
  <c r="I12" i="3"/>
  <c r="I14" i="3"/>
  <c r="I15" i="3"/>
  <c r="I11" i="3"/>
  <c r="I13" i="3"/>
  <c r="I6" i="3"/>
  <c r="J4" i="3"/>
  <c r="I4" i="3"/>
  <c r="J3" i="3"/>
  <c r="I3" i="3"/>
  <c r="J2" i="3"/>
  <c r="I2" i="3"/>
  <c r="O17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J19" i="2"/>
  <c r="AK19" i="2"/>
  <c r="AL19" i="2"/>
  <c r="E17" i="2"/>
  <c r="F17" i="2"/>
  <c r="G17" i="2"/>
  <c r="H17" i="2"/>
  <c r="I17" i="2"/>
  <c r="J17" i="2"/>
  <c r="K17" i="2"/>
  <c r="L17" i="2"/>
  <c r="M17" i="2"/>
  <c r="N17" i="2"/>
  <c r="P17" i="2"/>
  <c r="Q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J17" i="2"/>
  <c r="AK17" i="2"/>
  <c r="AL17" i="2"/>
  <c r="D21" i="2" a="1"/>
  <c r="D21" i="2"/>
  <c r="M18" i="2"/>
  <c r="N18" i="2"/>
  <c r="O18" i="2"/>
  <c r="P18" i="2"/>
  <c r="Q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J18" i="2"/>
  <c r="AK18" i="2"/>
  <c r="AL18" i="2"/>
  <c r="F18" i="2"/>
  <c r="G18" i="2"/>
  <c r="H18" i="2"/>
  <c r="I18" i="2"/>
  <c r="J18" i="2"/>
  <c r="K18" i="2"/>
  <c r="L18" i="2"/>
  <c r="E1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<sst xmlns="http://schemas.openxmlformats.org/spreadsheetml/2006/main" count="896" uniqueCount="41">
  <si>
    <t>Year</t>
  </si>
  <si>
    <t>Mass, g</t>
  </si>
  <si>
    <t>Mint</t>
  </si>
  <si>
    <t>Denver</t>
  </si>
  <si>
    <t>Philadelphia</t>
  </si>
  <si>
    <t>Philedalphia</t>
  </si>
  <si>
    <t>Mean</t>
  </si>
  <si>
    <t>Standard Deviation</t>
  </si>
  <si>
    <t># of Measurements</t>
  </si>
  <si>
    <t>Highest</t>
  </si>
  <si>
    <t>Lowest</t>
  </si>
  <si>
    <t>+</t>
  </si>
  <si>
    <t>-</t>
  </si>
  <si>
    <t>Confidence Interval 95%</t>
  </si>
  <si>
    <t>F-Test</t>
  </si>
  <si>
    <t>F-Calculated</t>
  </si>
  <si>
    <t>Case 2 T-Test at CI 95%</t>
  </si>
  <si>
    <t>T-Calculated</t>
  </si>
  <si>
    <t>Degree of Freedom</t>
  </si>
  <si>
    <t>s1</t>
  </si>
  <si>
    <t>s2</t>
  </si>
  <si>
    <t>S.D</t>
  </si>
  <si>
    <t>Count</t>
  </si>
  <si>
    <t>F-Table</t>
  </si>
  <si>
    <t>S(pooled)</t>
  </si>
  <si>
    <t>T-Table</t>
  </si>
  <si>
    <t xml:space="preserve">The two sets of measurments are significantly different </t>
  </si>
  <si>
    <t>Case 2 CI 95%</t>
  </si>
  <si>
    <t>T-Test</t>
  </si>
  <si>
    <t>Numerator</t>
  </si>
  <si>
    <t>Denominator</t>
  </si>
  <si>
    <t>The measurments are not significantly different</t>
  </si>
  <si>
    <t>Maximum</t>
  </si>
  <si>
    <t>Minimum</t>
  </si>
  <si>
    <t>Bins</t>
  </si>
  <si>
    <t>Frequency</t>
  </si>
  <si>
    <t>Point</t>
  </si>
  <si>
    <t>X</t>
  </si>
  <si>
    <t>Y</t>
  </si>
  <si>
    <t>*-3sigma</t>
  </si>
  <si>
    <t>*+3sigma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</si>
</sst>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Arial"/>
    </font>
    <font>
      <b/>
      <sz val="12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4" fontId="0" fillId="0" borderId="0" xfId="0" applyNumberForma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</a:t>
            </a:r>
            <a:r>
              <a:rPr lang="en-US" baseline="0"/>
              <a:t> for 281 pennies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912481401485376E-2"/>
          <c:y val="0.10359686609686611"/>
          <c:w val="0.78185822509386649"/>
          <c:h val="0.7852981918926801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Frequency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3206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Sheet1!$G$2:$G$18</c:f>
              <c:numCache>
                <c:formatCode>General</c:formatCode>
                <c:ptCount val="17"/>
                <c:pt idx="0">
                  <c:v>2.4</c:v>
                </c:pt>
                <c:pt idx="1">
                  <c:v>2.41</c:v>
                </c:pt>
                <c:pt idx="2">
                  <c:v>2.42</c:v>
                </c:pt>
                <c:pt idx="3">
                  <c:v>2.4300000000000002</c:v>
                </c:pt>
                <c:pt idx="4">
                  <c:v>2.44</c:v>
                </c:pt>
                <c:pt idx="5">
                  <c:v>2.4500000000000002</c:v>
                </c:pt>
                <c:pt idx="6">
                  <c:v>2.46</c:v>
                </c:pt>
                <c:pt idx="7">
                  <c:v>2.4700000000000002</c:v>
                </c:pt>
                <c:pt idx="8">
                  <c:v>2.48</c:v>
                </c:pt>
                <c:pt idx="9">
                  <c:v>2.4900000000000002</c:v>
                </c:pt>
                <c:pt idx="10">
                  <c:v>2.5</c:v>
                </c:pt>
                <c:pt idx="11">
                  <c:v>2.5099999999999998</c:v>
                </c:pt>
                <c:pt idx="12">
                  <c:v>2.52</c:v>
                </c:pt>
                <c:pt idx="13">
                  <c:v>2.5299999999999998</c:v>
                </c:pt>
                <c:pt idx="14">
                  <c:v>2.54</c:v>
                </c:pt>
                <c:pt idx="15">
                  <c:v>2.5499999999999998</c:v>
                </c:pt>
                <c:pt idx="16">
                  <c:v>2.56</c:v>
                </c:pt>
              </c:numCache>
            </c:numRef>
          </c:xVal>
          <c:yVal>
            <c:numRef>
              <c:f>Sheet1!$H$2:$H$18</c:f>
              <c:numCache>
                <c:formatCode>General</c:formatCode>
                <c:ptCount val="1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6</c:v>
                </c:pt>
                <c:pt idx="5">
                  <c:v>19</c:v>
                </c:pt>
                <c:pt idx="6">
                  <c:v>16</c:v>
                </c:pt>
                <c:pt idx="7">
                  <c:v>26</c:v>
                </c:pt>
                <c:pt idx="8">
                  <c:v>43</c:v>
                </c:pt>
                <c:pt idx="9">
                  <c:v>38</c:v>
                </c:pt>
                <c:pt idx="10">
                  <c:v>37</c:v>
                </c:pt>
                <c:pt idx="11">
                  <c:v>36</c:v>
                </c:pt>
                <c:pt idx="12">
                  <c:v>25</c:v>
                </c:pt>
                <c:pt idx="13">
                  <c:v>16</c:v>
                </c:pt>
                <c:pt idx="14">
                  <c:v>8</c:v>
                </c:pt>
                <c:pt idx="15">
                  <c:v>6</c:v>
                </c:pt>
                <c:pt idx="16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5F-44AE-BA83-5847CCA03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15200"/>
        <c:axId val="159915680"/>
      </c:scatterChart>
      <c:scatterChart>
        <c:scatterStyle val="smoothMarker"/>
        <c:varyColors val="0"/>
        <c:ser>
          <c:idx val="1"/>
          <c:order val="1"/>
          <c:tx>
            <c:v>Normal</c:v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Sheet1!$F$20:$F$300</c:f>
              <c:numCache>
                <c:formatCode>0.000</c:formatCode>
                <c:ptCount val="281"/>
                <c:pt idx="0">
                  <c:v>2.403</c:v>
                </c:pt>
                <c:pt idx="1">
                  <c:v>2.4359999999999999</c:v>
                </c:pt>
                <c:pt idx="2">
                  <c:v>2.4390000000000001</c:v>
                </c:pt>
                <c:pt idx="3">
                  <c:v>2.444</c:v>
                </c:pt>
                <c:pt idx="4">
                  <c:v>2.444</c:v>
                </c:pt>
                <c:pt idx="5">
                  <c:v>2.4470000000000001</c:v>
                </c:pt>
                <c:pt idx="6">
                  <c:v>2.448</c:v>
                </c:pt>
                <c:pt idx="7">
                  <c:v>2.4510000000000001</c:v>
                </c:pt>
                <c:pt idx="8">
                  <c:v>2.452</c:v>
                </c:pt>
                <c:pt idx="9">
                  <c:v>2.4540000000000002</c:v>
                </c:pt>
                <c:pt idx="10">
                  <c:v>2.456</c:v>
                </c:pt>
                <c:pt idx="11">
                  <c:v>2.456</c:v>
                </c:pt>
                <c:pt idx="12">
                  <c:v>2.4569999999999999</c:v>
                </c:pt>
                <c:pt idx="13">
                  <c:v>2.4569999999999999</c:v>
                </c:pt>
                <c:pt idx="14">
                  <c:v>2.4569999999999999</c:v>
                </c:pt>
                <c:pt idx="15">
                  <c:v>2.4580000000000002</c:v>
                </c:pt>
                <c:pt idx="16">
                  <c:v>2.4580000000000002</c:v>
                </c:pt>
                <c:pt idx="17">
                  <c:v>2.46</c:v>
                </c:pt>
                <c:pt idx="18">
                  <c:v>2.46</c:v>
                </c:pt>
                <c:pt idx="19">
                  <c:v>2.46</c:v>
                </c:pt>
                <c:pt idx="20">
                  <c:v>2.4609999999999999</c:v>
                </c:pt>
                <c:pt idx="21">
                  <c:v>2.4620000000000002</c:v>
                </c:pt>
                <c:pt idx="22">
                  <c:v>2.4620000000000002</c:v>
                </c:pt>
                <c:pt idx="23">
                  <c:v>2.4620000000000002</c:v>
                </c:pt>
                <c:pt idx="24">
                  <c:v>2.4620000000000002</c:v>
                </c:pt>
                <c:pt idx="25">
                  <c:v>2.4620000000000002</c:v>
                </c:pt>
                <c:pt idx="26">
                  <c:v>2.4620000000000002</c:v>
                </c:pt>
                <c:pt idx="27">
                  <c:v>2.4630000000000001</c:v>
                </c:pt>
                <c:pt idx="28">
                  <c:v>2.464</c:v>
                </c:pt>
                <c:pt idx="29">
                  <c:v>2.4660000000000002</c:v>
                </c:pt>
                <c:pt idx="30">
                  <c:v>2.4660000000000002</c:v>
                </c:pt>
                <c:pt idx="31">
                  <c:v>2.4660000000000002</c:v>
                </c:pt>
                <c:pt idx="32">
                  <c:v>2.4670000000000001</c:v>
                </c:pt>
                <c:pt idx="33">
                  <c:v>2.4670000000000001</c:v>
                </c:pt>
                <c:pt idx="34">
                  <c:v>2.4689999999999999</c:v>
                </c:pt>
                <c:pt idx="35">
                  <c:v>2.4689999999999999</c:v>
                </c:pt>
                <c:pt idx="36">
                  <c:v>2.4689999999999999</c:v>
                </c:pt>
                <c:pt idx="37">
                  <c:v>2.4689999999999999</c:v>
                </c:pt>
                <c:pt idx="38">
                  <c:v>2.4700000000000002</c:v>
                </c:pt>
                <c:pt idx="39">
                  <c:v>2.4710000000000001</c:v>
                </c:pt>
                <c:pt idx="40">
                  <c:v>2.4710000000000001</c:v>
                </c:pt>
                <c:pt idx="41">
                  <c:v>2.472</c:v>
                </c:pt>
                <c:pt idx="42">
                  <c:v>2.4729999999999999</c:v>
                </c:pt>
                <c:pt idx="43">
                  <c:v>2.4729999999999999</c:v>
                </c:pt>
                <c:pt idx="44">
                  <c:v>2.4740000000000002</c:v>
                </c:pt>
                <c:pt idx="45">
                  <c:v>2.4740000000000002</c:v>
                </c:pt>
                <c:pt idx="46">
                  <c:v>2.4750000000000001</c:v>
                </c:pt>
                <c:pt idx="47">
                  <c:v>2.4750000000000001</c:v>
                </c:pt>
                <c:pt idx="48">
                  <c:v>2.476</c:v>
                </c:pt>
                <c:pt idx="49">
                  <c:v>2.476</c:v>
                </c:pt>
                <c:pt idx="50">
                  <c:v>2.4769999999999999</c:v>
                </c:pt>
                <c:pt idx="51">
                  <c:v>2.4769999999999999</c:v>
                </c:pt>
                <c:pt idx="52">
                  <c:v>2.4769999999999999</c:v>
                </c:pt>
                <c:pt idx="53">
                  <c:v>2.4769999999999999</c:v>
                </c:pt>
                <c:pt idx="54">
                  <c:v>2.4780000000000002</c:v>
                </c:pt>
                <c:pt idx="55">
                  <c:v>2.4780000000000002</c:v>
                </c:pt>
                <c:pt idx="56">
                  <c:v>2.4790000000000001</c:v>
                </c:pt>
                <c:pt idx="57">
                  <c:v>2.4790000000000001</c:v>
                </c:pt>
                <c:pt idx="58">
                  <c:v>2.48</c:v>
                </c:pt>
                <c:pt idx="59">
                  <c:v>2.48</c:v>
                </c:pt>
                <c:pt idx="60">
                  <c:v>2.4809999999999999</c:v>
                </c:pt>
                <c:pt idx="61">
                  <c:v>2.4809999999999999</c:v>
                </c:pt>
                <c:pt idx="62">
                  <c:v>2.4809999999999999</c:v>
                </c:pt>
                <c:pt idx="63">
                  <c:v>2.4809999999999999</c:v>
                </c:pt>
                <c:pt idx="64">
                  <c:v>2.4809999999999999</c:v>
                </c:pt>
                <c:pt idx="65">
                  <c:v>2.4820000000000002</c:v>
                </c:pt>
                <c:pt idx="66">
                  <c:v>2.4830000000000001</c:v>
                </c:pt>
                <c:pt idx="67">
                  <c:v>2.4830000000000001</c:v>
                </c:pt>
                <c:pt idx="68">
                  <c:v>2.4830000000000001</c:v>
                </c:pt>
                <c:pt idx="69">
                  <c:v>2.4830000000000001</c:v>
                </c:pt>
                <c:pt idx="70">
                  <c:v>2.484</c:v>
                </c:pt>
                <c:pt idx="71">
                  <c:v>2.484</c:v>
                </c:pt>
                <c:pt idx="72">
                  <c:v>2.484</c:v>
                </c:pt>
                <c:pt idx="73">
                  <c:v>2.484</c:v>
                </c:pt>
                <c:pt idx="74">
                  <c:v>2.484</c:v>
                </c:pt>
                <c:pt idx="75">
                  <c:v>2.484</c:v>
                </c:pt>
                <c:pt idx="76">
                  <c:v>2.484</c:v>
                </c:pt>
                <c:pt idx="77">
                  <c:v>2.4849999999999999</c:v>
                </c:pt>
                <c:pt idx="78">
                  <c:v>2.4849999999999999</c:v>
                </c:pt>
                <c:pt idx="79">
                  <c:v>2.4849999999999999</c:v>
                </c:pt>
                <c:pt idx="80">
                  <c:v>2.4849999999999999</c:v>
                </c:pt>
                <c:pt idx="81">
                  <c:v>2.4860000000000002</c:v>
                </c:pt>
                <c:pt idx="82">
                  <c:v>2.4860000000000002</c:v>
                </c:pt>
                <c:pt idx="83">
                  <c:v>2.4860000000000002</c:v>
                </c:pt>
                <c:pt idx="84">
                  <c:v>2.4860000000000002</c:v>
                </c:pt>
                <c:pt idx="85">
                  <c:v>2.4860000000000002</c:v>
                </c:pt>
                <c:pt idx="86">
                  <c:v>2.4860000000000002</c:v>
                </c:pt>
                <c:pt idx="87">
                  <c:v>2.4870000000000001</c:v>
                </c:pt>
                <c:pt idx="88">
                  <c:v>2.488</c:v>
                </c:pt>
                <c:pt idx="89">
                  <c:v>2.488</c:v>
                </c:pt>
                <c:pt idx="90">
                  <c:v>2.488</c:v>
                </c:pt>
                <c:pt idx="91">
                  <c:v>2.488</c:v>
                </c:pt>
                <c:pt idx="92">
                  <c:v>2.488</c:v>
                </c:pt>
                <c:pt idx="93">
                  <c:v>2.488</c:v>
                </c:pt>
                <c:pt idx="94">
                  <c:v>2.4889999999999999</c:v>
                </c:pt>
                <c:pt idx="95">
                  <c:v>2.4889999999999999</c:v>
                </c:pt>
                <c:pt idx="96">
                  <c:v>2.4889999999999999</c:v>
                </c:pt>
                <c:pt idx="97">
                  <c:v>2.4900000000000002</c:v>
                </c:pt>
                <c:pt idx="98">
                  <c:v>2.4900000000000002</c:v>
                </c:pt>
                <c:pt idx="99">
                  <c:v>2.4900000000000002</c:v>
                </c:pt>
                <c:pt idx="100">
                  <c:v>2.4900000000000002</c:v>
                </c:pt>
                <c:pt idx="101">
                  <c:v>2.4900000000000002</c:v>
                </c:pt>
                <c:pt idx="102">
                  <c:v>2.4910000000000001</c:v>
                </c:pt>
                <c:pt idx="103">
                  <c:v>2.492</c:v>
                </c:pt>
                <c:pt idx="104">
                  <c:v>2.492</c:v>
                </c:pt>
                <c:pt idx="105">
                  <c:v>2.492</c:v>
                </c:pt>
                <c:pt idx="106">
                  <c:v>2.492</c:v>
                </c:pt>
                <c:pt idx="107">
                  <c:v>2.4929999999999999</c:v>
                </c:pt>
                <c:pt idx="108">
                  <c:v>2.4929999999999999</c:v>
                </c:pt>
                <c:pt idx="109">
                  <c:v>2.4929999999999999</c:v>
                </c:pt>
                <c:pt idx="110">
                  <c:v>2.4929999999999999</c:v>
                </c:pt>
                <c:pt idx="111">
                  <c:v>2.4929999999999999</c:v>
                </c:pt>
                <c:pt idx="112">
                  <c:v>2.4929999999999999</c:v>
                </c:pt>
                <c:pt idx="113">
                  <c:v>2.4940000000000002</c:v>
                </c:pt>
                <c:pt idx="114">
                  <c:v>2.4940000000000002</c:v>
                </c:pt>
                <c:pt idx="115">
                  <c:v>2.4940000000000002</c:v>
                </c:pt>
                <c:pt idx="116">
                  <c:v>2.4940000000000002</c:v>
                </c:pt>
                <c:pt idx="117">
                  <c:v>2.4940000000000002</c:v>
                </c:pt>
                <c:pt idx="118">
                  <c:v>2.4950000000000001</c:v>
                </c:pt>
                <c:pt idx="119">
                  <c:v>2.4950000000000001</c:v>
                </c:pt>
                <c:pt idx="120">
                  <c:v>2.4950000000000001</c:v>
                </c:pt>
                <c:pt idx="121">
                  <c:v>2.496</c:v>
                </c:pt>
                <c:pt idx="122">
                  <c:v>2.4969999999999999</c:v>
                </c:pt>
                <c:pt idx="123">
                  <c:v>2.4969999999999999</c:v>
                </c:pt>
                <c:pt idx="124">
                  <c:v>2.4969999999999999</c:v>
                </c:pt>
                <c:pt idx="125">
                  <c:v>2.4969999999999999</c:v>
                </c:pt>
                <c:pt idx="126">
                  <c:v>2.4969999999999999</c:v>
                </c:pt>
                <c:pt idx="127">
                  <c:v>2.4969999999999999</c:v>
                </c:pt>
                <c:pt idx="128">
                  <c:v>2.4969999999999999</c:v>
                </c:pt>
                <c:pt idx="129">
                  <c:v>2.4980000000000002</c:v>
                </c:pt>
                <c:pt idx="130">
                  <c:v>2.4980000000000002</c:v>
                </c:pt>
                <c:pt idx="131">
                  <c:v>2.4980000000000002</c:v>
                </c:pt>
                <c:pt idx="132">
                  <c:v>2.4980000000000002</c:v>
                </c:pt>
                <c:pt idx="133">
                  <c:v>2.4990000000000001</c:v>
                </c:pt>
                <c:pt idx="134">
                  <c:v>2.4990000000000001</c:v>
                </c:pt>
                <c:pt idx="135">
                  <c:v>2.5</c:v>
                </c:pt>
                <c:pt idx="136">
                  <c:v>2.5</c:v>
                </c:pt>
                <c:pt idx="137">
                  <c:v>2.5009999999999999</c:v>
                </c:pt>
                <c:pt idx="138">
                  <c:v>2.5009999999999999</c:v>
                </c:pt>
                <c:pt idx="139">
                  <c:v>2.5019999999999998</c:v>
                </c:pt>
                <c:pt idx="140">
                  <c:v>2.5019999999999998</c:v>
                </c:pt>
                <c:pt idx="141">
                  <c:v>2.5019999999999998</c:v>
                </c:pt>
                <c:pt idx="142">
                  <c:v>2.5019999999999998</c:v>
                </c:pt>
                <c:pt idx="143">
                  <c:v>2.5019999999999998</c:v>
                </c:pt>
                <c:pt idx="144">
                  <c:v>2.5030000000000001</c:v>
                </c:pt>
                <c:pt idx="145">
                  <c:v>2.5030000000000001</c:v>
                </c:pt>
                <c:pt idx="146">
                  <c:v>2.5030000000000001</c:v>
                </c:pt>
                <c:pt idx="147">
                  <c:v>2.5030000000000001</c:v>
                </c:pt>
                <c:pt idx="148">
                  <c:v>2.5030000000000001</c:v>
                </c:pt>
                <c:pt idx="149">
                  <c:v>2.5030000000000001</c:v>
                </c:pt>
                <c:pt idx="150">
                  <c:v>2.5030000000000001</c:v>
                </c:pt>
                <c:pt idx="151">
                  <c:v>2.504</c:v>
                </c:pt>
                <c:pt idx="152">
                  <c:v>2.504</c:v>
                </c:pt>
                <c:pt idx="153">
                  <c:v>2.504</c:v>
                </c:pt>
                <c:pt idx="154">
                  <c:v>2.504</c:v>
                </c:pt>
                <c:pt idx="155">
                  <c:v>2.504</c:v>
                </c:pt>
                <c:pt idx="156">
                  <c:v>2.5049999999999999</c:v>
                </c:pt>
                <c:pt idx="157">
                  <c:v>2.5049999999999999</c:v>
                </c:pt>
                <c:pt idx="158">
                  <c:v>2.5049999999999999</c:v>
                </c:pt>
                <c:pt idx="159">
                  <c:v>2.5049999999999999</c:v>
                </c:pt>
                <c:pt idx="160">
                  <c:v>2.5059999999999998</c:v>
                </c:pt>
                <c:pt idx="161">
                  <c:v>2.5070000000000001</c:v>
                </c:pt>
                <c:pt idx="162">
                  <c:v>2.5070000000000001</c:v>
                </c:pt>
                <c:pt idx="163">
                  <c:v>2.508</c:v>
                </c:pt>
                <c:pt idx="164">
                  <c:v>2.508</c:v>
                </c:pt>
                <c:pt idx="165">
                  <c:v>2.508</c:v>
                </c:pt>
                <c:pt idx="166">
                  <c:v>2.508</c:v>
                </c:pt>
                <c:pt idx="167">
                  <c:v>2.508</c:v>
                </c:pt>
                <c:pt idx="168">
                  <c:v>2.508</c:v>
                </c:pt>
                <c:pt idx="169">
                  <c:v>2.5089999999999999</c:v>
                </c:pt>
                <c:pt idx="170">
                  <c:v>2.5089999999999999</c:v>
                </c:pt>
                <c:pt idx="171">
                  <c:v>2.5099999999999998</c:v>
                </c:pt>
                <c:pt idx="172">
                  <c:v>2.5099999999999998</c:v>
                </c:pt>
                <c:pt idx="173">
                  <c:v>2.5099999999999998</c:v>
                </c:pt>
                <c:pt idx="174">
                  <c:v>2.5099999999999998</c:v>
                </c:pt>
                <c:pt idx="175">
                  <c:v>2.5110000000000001</c:v>
                </c:pt>
                <c:pt idx="176">
                  <c:v>2.5110000000000001</c:v>
                </c:pt>
                <c:pt idx="177">
                  <c:v>2.5110000000000001</c:v>
                </c:pt>
                <c:pt idx="178">
                  <c:v>2.5110000000000001</c:v>
                </c:pt>
                <c:pt idx="179">
                  <c:v>2.5110000000000001</c:v>
                </c:pt>
                <c:pt idx="180">
                  <c:v>2.5110000000000001</c:v>
                </c:pt>
                <c:pt idx="181">
                  <c:v>2.5110000000000001</c:v>
                </c:pt>
                <c:pt idx="182">
                  <c:v>2.512</c:v>
                </c:pt>
                <c:pt idx="183">
                  <c:v>2.512</c:v>
                </c:pt>
                <c:pt idx="184">
                  <c:v>2.5129999999999999</c:v>
                </c:pt>
                <c:pt idx="185">
                  <c:v>2.5129999999999999</c:v>
                </c:pt>
                <c:pt idx="186">
                  <c:v>2.5129999999999999</c:v>
                </c:pt>
                <c:pt idx="187">
                  <c:v>2.5129999999999999</c:v>
                </c:pt>
                <c:pt idx="188">
                  <c:v>2.5139999999999998</c:v>
                </c:pt>
                <c:pt idx="189">
                  <c:v>2.5139999999999998</c:v>
                </c:pt>
                <c:pt idx="190">
                  <c:v>2.5139999999999998</c:v>
                </c:pt>
                <c:pt idx="191">
                  <c:v>2.5139999999999998</c:v>
                </c:pt>
                <c:pt idx="192">
                  <c:v>2.5139999999999998</c:v>
                </c:pt>
                <c:pt idx="193">
                  <c:v>2.5150000000000001</c:v>
                </c:pt>
                <c:pt idx="194">
                  <c:v>2.5150000000000001</c:v>
                </c:pt>
                <c:pt idx="195">
                  <c:v>2.516</c:v>
                </c:pt>
                <c:pt idx="196">
                  <c:v>2.516</c:v>
                </c:pt>
                <c:pt idx="197">
                  <c:v>2.516</c:v>
                </c:pt>
                <c:pt idx="198">
                  <c:v>2.516</c:v>
                </c:pt>
                <c:pt idx="199">
                  <c:v>2.516</c:v>
                </c:pt>
                <c:pt idx="200">
                  <c:v>2.516</c:v>
                </c:pt>
                <c:pt idx="201">
                  <c:v>2.516</c:v>
                </c:pt>
                <c:pt idx="202">
                  <c:v>2.5169999999999999</c:v>
                </c:pt>
                <c:pt idx="203">
                  <c:v>2.5169999999999999</c:v>
                </c:pt>
                <c:pt idx="204">
                  <c:v>2.5169999999999999</c:v>
                </c:pt>
                <c:pt idx="205">
                  <c:v>2.5169999999999999</c:v>
                </c:pt>
                <c:pt idx="206">
                  <c:v>2.5169999999999999</c:v>
                </c:pt>
                <c:pt idx="207">
                  <c:v>2.5169999999999999</c:v>
                </c:pt>
                <c:pt idx="208">
                  <c:v>2.5179999999999998</c:v>
                </c:pt>
                <c:pt idx="209">
                  <c:v>2.5179999999999998</c:v>
                </c:pt>
                <c:pt idx="210">
                  <c:v>2.5190000000000001</c:v>
                </c:pt>
                <c:pt idx="211">
                  <c:v>2.5190000000000001</c:v>
                </c:pt>
                <c:pt idx="212">
                  <c:v>2.52</c:v>
                </c:pt>
                <c:pt idx="213">
                  <c:v>2.52</c:v>
                </c:pt>
                <c:pt idx="214">
                  <c:v>2.52</c:v>
                </c:pt>
                <c:pt idx="215">
                  <c:v>2.52</c:v>
                </c:pt>
                <c:pt idx="216">
                  <c:v>2.52</c:v>
                </c:pt>
                <c:pt idx="217">
                  <c:v>2.5209999999999999</c:v>
                </c:pt>
                <c:pt idx="218">
                  <c:v>2.5209999999999999</c:v>
                </c:pt>
                <c:pt idx="219">
                  <c:v>2.5209999999999999</c:v>
                </c:pt>
                <c:pt idx="220">
                  <c:v>2.5209999999999999</c:v>
                </c:pt>
                <c:pt idx="221">
                  <c:v>2.5230000000000001</c:v>
                </c:pt>
                <c:pt idx="222">
                  <c:v>2.5230000000000001</c:v>
                </c:pt>
                <c:pt idx="223">
                  <c:v>2.5230000000000001</c:v>
                </c:pt>
                <c:pt idx="224">
                  <c:v>2.524</c:v>
                </c:pt>
                <c:pt idx="225">
                  <c:v>2.524</c:v>
                </c:pt>
                <c:pt idx="226">
                  <c:v>2.524</c:v>
                </c:pt>
                <c:pt idx="227">
                  <c:v>2.5249999999999999</c:v>
                </c:pt>
                <c:pt idx="228">
                  <c:v>2.5249999999999999</c:v>
                </c:pt>
                <c:pt idx="229">
                  <c:v>2.5249999999999999</c:v>
                </c:pt>
                <c:pt idx="230">
                  <c:v>2.5249999999999999</c:v>
                </c:pt>
                <c:pt idx="231">
                  <c:v>2.5249999999999999</c:v>
                </c:pt>
                <c:pt idx="232">
                  <c:v>2.5259999999999998</c:v>
                </c:pt>
                <c:pt idx="233">
                  <c:v>2.5259999999999998</c:v>
                </c:pt>
                <c:pt idx="234">
                  <c:v>2.5270000000000001</c:v>
                </c:pt>
                <c:pt idx="235">
                  <c:v>2.5270000000000001</c:v>
                </c:pt>
                <c:pt idx="236">
                  <c:v>2.528</c:v>
                </c:pt>
                <c:pt idx="237">
                  <c:v>2.5289999999999999</c:v>
                </c:pt>
                <c:pt idx="238">
                  <c:v>2.5289999999999999</c:v>
                </c:pt>
                <c:pt idx="239">
                  <c:v>2.5289999999999999</c:v>
                </c:pt>
                <c:pt idx="240">
                  <c:v>2.5299999999999998</c:v>
                </c:pt>
                <c:pt idx="241">
                  <c:v>2.5310000000000001</c:v>
                </c:pt>
                <c:pt idx="242">
                  <c:v>2.5310000000000001</c:v>
                </c:pt>
                <c:pt idx="243">
                  <c:v>2.5310000000000001</c:v>
                </c:pt>
                <c:pt idx="244">
                  <c:v>2.532</c:v>
                </c:pt>
                <c:pt idx="245">
                  <c:v>2.532</c:v>
                </c:pt>
                <c:pt idx="246">
                  <c:v>2.5329999999999999</c:v>
                </c:pt>
                <c:pt idx="247">
                  <c:v>2.5329999999999999</c:v>
                </c:pt>
                <c:pt idx="248">
                  <c:v>2.5329999999999999</c:v>
                </c:pt>
                <c:pt idx="249">
                  <c:v>2.5350000000000001</c:v>
                </c:pt>
                <c:pt idx="250">
                  <c:v>2.5350000000000001</c:v>
                </c:pt>
                <c:pt idx="251">
                  <c:v>2.5350000000000001</c:v>
                </c:pt>
                <c:pt idx="252">
                  <c:v>2.5350000000000001</c:v>
                </c:pt>
                <c:pt idx="253">
                  <c:v>2.5350000000000001</c:v>
                </c:pt>
                <c:pt idx="254">
                  <c:v>2.536</c:v>
                </c:pt>
                <c:pt idx="255">
                  <c:v>2.536</c:v>
                </c:pt>
                <c:pt idx="256">
                  <c:v>2.5379999999999998</c:v>
                </c:pt>
                <c:pt idx="257">
                  <c:v>2.5379999999999998</c:v>
                </c:pt>
                <c:pt idx="258">
                  <c:v>2.5379999999999998</c:v>
                </c:pt>
                <c:pt idx="259">
                  <c:v>2.5390000000000001</c:v>
                </c:pt>
                <c:pt idx="260">
                  <c:v>2.5390000000000001</c:v>
                </c:pt>
                <c:pt idx="261">
                  <c:v>2.54</c:v>
                </c:pt>
                <c:pt idx="262">
                  <c:v>2.5409999999999999</c:v>
                </c:pt>
                <c:pt idx="263">
                  <c:v>2.5409999999999999</c:v>
                </c:pt>
                <c:pt idx="264">
                  <c:v>2.5419999999999998</c:v>
                </c:pt>
                <c:pt idx="265">
                  <c:v>2.544</c:v>
                </c:pt>
                <c:pt idx="266">
                  <c:v>2.544</c:v>
                </c:pt>
                <c:pt idx="267">
                  <c:v>2.5449999999999999</c:v>
                </c:pt>
                <c:pt idx="268">
                  <c:v>2.5449999999999999</c:v>
                </c:pt>
                <c:pt idx="269">
                  <c:v>2.5449999999999999</c:v>
                </c:pt>
                <c:pt idx="270">
                  <c:v>2.548</c:v>
                </c:pt>
                <c:pt idx="271">
                  <c:v>2.552</c:v>
                </c:pt>
                <c:pt idx="272">
                  <c:v>2.5529999999999999</c:v>
                </c:pt>
                <c:pt idx="273">
                  <c:v>2.5539999999999998</c:v>
                </c:pt>
                <c:pt idx="274">
                  <c:v>2.556</c:v>
                </c:pt>
                <c:pt idx="275">
                  <c:v>2.5569999999999999</c:v>
                </c:pt>
                <c:pt idx="276">
                  <c:v>2.5579999999999998</c:v>
                </c:pt>
                <c:pt idx="277">
                  <c:v>2.5590000000000002</c:v>
                </c:pt>
                <c:pt idx="278">
                  <c:v>2.5619999999999998</c:v>
                </c:pt>
                <c:pt idx="279">
                  <c:v>2.5640000000000001</c:v>
                </c:pt>
                <c:pt idx="280">
                  <c:v>2.5640000000000001</c:v>
                </c:pt>
              </c:numCache>
            </c:numRef>
          </c:xVal>
          <c:yVal>
            <c:numRef>
              <c:f>Sheet1!$G$20:$G$300</c:f>
              <c:numCache>
                <c:formatCode>General</c:formatCode>
                <c:ptCount val="281"/>
                <c:pt idx="0">
                  <c:v>2.0261636667495055E-2</c:v>
                </c:pt>
                <c:pt idx="1">
                  <c:v>0.82081995085404291</c:v>
                </c:pt>
                <c:pt idx="2">
                  <c:v>1.0666259700061964</c:v>
                </c:pt>
                <c:pt idx="3">
                  <c:v>1.6055620484553557</c:v>
                </c:pt>
                <c:pt idx="4">
                  <c:v>1.6055620484553557</c:v>
                </c:pt>
                <c:pt idx="5">
                  <c:v>2.0183699544574103</c:v>
                </c:pt>
                <c:pt idx="6">
                  <c:v>2.1723315909584029</c:v>
                </c:pt>
                <c:pt idx="7">
                  <c:v>2.6859907400147165</c:v>
                </c:pt>
                <c:pt idx="8">
                  <c:v>2.874957492893961</c:v>
                </c:pt>
                <c:pt idx="9">
                  <c:v>3.2800951354695149</c:v>
                </c:pt>
                <c:pt idx="10">
                  <c:v>3.7217142372028116</c:v>
                </c:pt>
                <c:pt idx="11">
                  <c:v>3.7217142372028116</c:v>
                </c:pt>
                <c:pt idx="12">
                  <c:v>3.9561423043743522</c:v>
                </c:pt>
                <c:pt idx="13">
                  <c:v>3.9561423043743522</c:v>
                </c:pt>
                <c:pt idx="14">
                  <c:v>3.9561423043743522</c:v>
                </c:pt>
                <c:pt idx="15">
                  <c:v>4.1995347475766689</c:v>
                </c:pt>
                <c:pt idx="16">
                  <c:v>4.1995347475766689</c:v>
                </c:pt>
                <c:pt idx="17">
                  <c:v>4.7126035462413149</c:v>
                </c:pt>
                <c:pt idx="18">
                  <c:v>4.7126035462413149</c:v>
                </c:pt>
                <c:pt idx="19">
                  <c:v>4.7126035462413149</c:v>
                </c:pt>
                <c:pt idx="20">
                  <c:v>4.9818581592124644</c:v>
                </c:pt>
                <c:pt idx="21">
                  <c:v>5.2592304823880296</c:v>
                </c:pt>
                <c:pt idx="22">
                  <c:v>5.2592304823880296</c:v>
                </c:pt>
                <c:pt idx="23">
                  <c:v>5.2592304823880296</c:v>
                </c:pt>
                <c:pt idx="24">
                  <c:v>5.2592304823880296</c:v>
                </c:pt>
                <c:pt idx="25">
                  <c:v>5.2592304823880296</c:v>
                </c:pt>
                <c:pt idx="26">
                  <c:v>5.2592304823880296</c:v>
                </c:pt>
                <c:pt idx="27">
                  <c:v>5.5443857967865311</c:v>
                </c:pt>
                <c:pt idx="28">
                  <c:v>5.836937910325001</c:v>
                </c:pt>
                <c:pt idx="29">
                  <c:v>6.4424271268256348</c:v>
                </c:pt>
                <c:pt idx="30">
                  <c:v>6.4424271268256348</c:v>
                </c:pt>
                <c:pt idx="31">
                  <c:v>6.4424271268256348</c:v>
                </c:pt>
                <c:pt idx="32">
                  <c:v>6.754330766176956</c:v>
                </c:pt>
                <c:pt idx="33">
                  <c:v>6.754330766176956</c:v>
                </c:pt>
                <c:pt idx="34">
                  <c:v>7.3934837562594886</c:v>
                </c:pt>
                <c:pt idx="35">
                  <c:v>7.3934837562594886</c:v>
                </c:pt>
                <c:pt idx="36">
                  <c:v>7.3934837562594886</c:v>
                </c:pt>
                <c:pt idx="37">
                  <c:v>7.3934837562594886</c:v>
                </c:pt>
                <c:pt idx="38">
                  <c:v>7.7193922857851929</c:v>
                </c:pt>
                <c:pt idx="39">
                  <c:v>8.0485471568216429</c:v>
                </c:pt>
                <c:pt idx="40">
                  <c:v>8.0485471568216429</c:v>
                </c:pt>
                <c:pt idx="41">
                  <c:v>8.3801591632816326</c:v>
                </c:pt>
                <c:pt idx="42">
                  <c:v>8.7133956460990838</c:v>
                </c:pt>
                <c:pt idx="43">
                  <c:v>8.7133956460990838</c:v>
                </c:pt>
                <c:pt idx="44">
                  <c:v>9.0473833913688004</c:v>
                </c:pt>
                <c:pt idx="45">
                  <c:v>9.0473833913688004</c:v>
                </c:pt>
                <c:pt idx="46">
                  <c:v>9.3812119309661846</c:v>
                </c:pt>
                <c:pt idx="47">
                  <c:v>9.3812119309661846</c:v>
                </c:pt>
                <c:pt idx="48">
                  <c:v>9.7139372338026533</c:v>
                </c:pt>
                <c:pt idx="49">
                  <c:v>9.7139372338026533</c:v>
                </c:pt>
                <c:pt idx="50">
                  <c:v>10.044585771563126</c:v>
                </c:pt>
                <c:pt idx="51">
                  <c:v>10.044585771563126</c:v>
                </c:pt>
                <c:pt idx="52">
                  <c:v>10.044585771563126</c:v>
                </c:pt>
                <c:pt idx="53">
                  <c:v>10.044585771563126</c:v>
                </c:pt>
                <c:pt idx="54">
                  <c:v>10.372158938489832</c:v>
                </c:pt>
                <c:pt idx="55">
                  <c:v>10.372158938489832</c:v>
                </c:pt>
                <c:pt idx="56">
                  <c:v>10.695637800556511</c:v>
                </c:pt>
                <c:pt idx="57">
                  <c:v>10.695637800556511</c:v>
                </c:pt>
                <c:pt idx="58">
                  <c:v>11.01398814529229</c:v>
                </c:pt>
                <c:pt idx="59">
                  <c:v>11.01398814529229</c:v>
                </c:pt>
                <c:pt idx="60">
                  <c:v>11.326165799603602</c:v>
                </c:pt>
                <c:pt idx="61">
                  <c:v>11.326165799603602</c:v>
                </c:pt>
                <c:pt idx="62">
                  <c:v>11.326165799603602</c:v>
                </c:pt>
                <c:pt idx="63">
                  <c:v>11.326165799603602</c:v>
                </c:pt>
                <c:pt idx="64">
                  <c:v>11.326165799603602</c:v>
                </c:pt>
                <c:pt idx="65">
                  <c:v>11.631122179280389</c:v>
                </c:pt>
                <c:pt idx="66">
                  <c:v>11.927810030494012</c:v>
                </c:pt>
                <c:pt idx="67">
                  <c:v>11.927810030494012</c:v>
                </c:pt>
                <c:pt idx="68">
                  <c:v>11.927810030494012</c:v>
                </c:pt>
                <c:pt idx="69">
                  <c:v>11.927810030494012</c:v>
                </c:pt>
                <c:pt idx="70">
                  <c:v>12.215189320566733</c:v>
                </c:pt>
                <c:pt idx="71">
                  <c:v>12.215189320566733</c:v>
                </c:pt>
                <c:pt idx="72">
                  <c:v>12.215189320566733</c:v>
                </c:pt>
                <c:pt idx="73">
                  <c:v>12.215189320566733</c:v>
                </c:pt>
                <c:pt idx="74">
                  <c:v>12.215189320566733</c:v>
                </c:pt>
                <c:pt idx="75">
                  <c:v>12.215189320566733</c:v>
                </c:pt>
                <c:pt idx="76">
                  <c:v>12.215189320566733</c:v>
                </c:pt>
                <c:pt idx="77">
                  <c:v>12.49223323264825</c:v>
                </c:pt>
                <c:pt idx="78">
                  <c:v>12.49223323264825</c:v>
                </c:pt>
                <c:pt idx="79">
                  <c:v>12.49223323264825</c:v>
                </c:pt>
                <c:pt idx="80">
                  <c:v>12.49223323264825</c:v>
                </c:pt>
                <c:pt idx="81">
                  <c:v>12.757934216735745</c:v>
                </c:pt>
                <c:pt idx="82">
                  <c:v>12.757934216735745</c:v>
                </c:pt>
                <c:pt idx="83">
                  <c:v>12.757934216735745</c:v>
                </c:pt>
                <c:pt idx="84">
                  <c:v>12.757934216735745</c:v>
                </c:pt>
                <c:pt idx="85">
                  <c:v>12.757934216735745</c:v>
                </c:pt>
                <c:pt idx="86">
                  <c:v>12.757934216735745</c:v>
                </c:pt>
                <c:pt idx="87">
                  <c:v>13.011310047741354</c:v>
                </c:pt>
                <c:pt idx="88">
                  <c:v>13.251409840093594</c:v>
                </c:pt>
                <c:pt idx="89">
                  <c:v>13.251409840093594</c:v>
                </c:pt>
                <c:pt idx="90">
                  <c:v>13.251409840093594</c:v>
                </c:pt>
                <c:pt idx="91">
                  <c:v>13.251409840093594</c:v>
                </c:pt>
                <c:pt idx="92">
                  <c:v>13.251409840093594</c:v>
                </c:pt>
                <c:pt idx="93">
                  <c:v>13.251409840093594</c:v>
                </c:pt>
                <c:pt idx="94">
                  <c:v>13.477319967669905</c:v>
                </c:pt>
                <c:pt idx="95">
                  <c:v>13.477319967669905</c:v>
                </c:pt>
                <c:pt idx="96">
                  <c:v>13.477319967669905</c:v>
                </c:pt>
                <c:pt idx="97">
                  <c:v>13.688169837732314</c:v>
                </c:pt>
                <c:pt idx="98">
                  <c:v>13.688169837732314</c:v>
                </c:pt>
                <c:pt idx="99">
                  <c:v>13.688169837732314</c:v>
                </c:pt>
                <c:pt idx="100">
                  <c:v>13.688169837732314</c:v>
                </c:pt>
                <c:pt idx="101">
                  <c:v>13.688169837732314</c:v>
                </c:pt>
                <c:pt idx="102">
                  <c:v>13.883137467974553</c:v>
                </c:pt>
                <c:pt idx="103">
                  <c:v>14.061454816805574</c:v>
                </c:pt>
                <c:pt idx="104">
                  <c:v>14.061454816805574</c:v>
                </c:pt>
                <c:pt idx="105">
                  <c:v>14.061454816805574</c:v>
                </c:pt>
                <c:pt idx="106">
                  <c:v>14.061454816805574</c:v>
                </c:pt>
                <c:pt idx="107">
                  <c:v>14.222412818576439</c:v>
                </c:pt>
                <c:pt idx="108">
                  <c:v>14.222412818576439</c:v>
                </c:pt>
                <c:pt idx="109">
                  <c:v>14.222412818576439</c:v>
                </c:pt>
                <c:pt idx="110">
                  <c:v>14.222412818576439</c:v>
                </c:pt>
                <c:pt idx="111">
                  <c:v>14.222412818576439</c:v>
                </c:pt>
                <c:pt idx="112">
                  <c:v>14.222412818576439</c:v>
                </c:pt>
                <c:pt idx="113">
                  <c:v>14.365366077607812</c:v>
                </c:pt>
                <c:pt idx="114">
                  <c:v>14.365366077607812</c:v>
                </c:pt>
                <c:pt idx="115">
                  <c:v>14.365366077607812</c:v>
                </c:pt>
                <c:pt idx="116">
                  <c:v>14.365366077607812</c:v>
                </c:pt>
                <c:pt idx="117">
                  <c:v>14.365366077607812</c:v>
                </c:pt>
                <c:pt idx="118">
                  <c:v>14.489737177562366</c:v>
                </c:pt>
                <c:pt idx="119">
                  <c:v>14.489737177562366</c:v>
                </c:pt>
                <c:pt idx="120">
                  <c:v>14.489737177562366</c:v>
                </c:pt>
                <c:pt idx="121">
                  <c:v>14.595020565914718</c:v>
                </c:pt>
                <c:pt idx="122">
                  <c:v>14.680785976958223</c:v>
                </c:pt>
                <c:pt idx="123">
                  <c:v>14.680785976958223</c:v>
                </c:pt>
                <c:pt idx="124">
                  <c:v>14.680785976958223</c:v>
                </c:pt>
                <c:pt idx="125">
                  <c:v>14.680785976958223</c:v>
                </c:pt>
                <c:pt idx="126">
                  <c:v>14.680785976958223</c:v>
                </c:pt>
                <c:pt idx="127">
                  <c:v>14.680785976958223</c:v>
                </c:pt>
                <c:pt idx="128">
                  <c:v>14.680785976958223</c:v>
                </c:pt>
                <c:pt idx="129">
                  <c:v>14.746681360921569</c:v>
                </c:pt>
                <c:pt idx="130">
                  <c:v>14.746681360921569</c:v>
                </c:pt>
                <c:pt idx="131">
                  <c:v>14.746681360921569</c:v>
                </c:pt>
                <c:pt idx="132">
                  <c:v>14.746681360921569</c:v>
                </c:pt>
                <c:pt idx="133">
                  <c:v>14.792435291292277</c:v>
                </c:pt>
                <c:pt idx="134">
                  <c:v>14.792435291292277</c:v>
                </c:pt>
                <c:pt idx="135">
                  <c:v>14.817858827313012</c:v>
                </c:pt>
                <c:pt idx="136">
                  <c:v>14.817858827313012</c:v>
                </c:pt>
                <c:pt idx="137">
                  <c:v>14.822846813766084</c:v>
                </c:pt>
                <c:pt idx="138">
                  <c:v>14.822846813766084</c:v>
                </c:pt>
                <c:pt idx="139">
                  <c:v>14.80737860553409</c:v>
                </c:pt>
                <c:pt idx="140">
                  <c:v>14.80737860553409</c:v>
                </c:pt>
                <c:pt idx="141">
                  <c:v>14.80737860553409</c:v>
                </c:pt>
                <c:pt idx="142">
                  <c:v>14.80737860553409</c:v>
                </c:pt>
                <c:pt idx="143">
                  <c:v>14.80737860553409</c:v>
                </c:pt>
                <c:pt idx="144">
                  <c:v>14.771518209950225</c:v>
                </c:pt>
                <c:pt idx="145">
                  <c:v>14.771518209950225</c:v>
                </c:pt>
                <c:pt idx="146">
                  <c:v>14.771518209950225</c:v>
                </c:pt>
                <c:pt idx="147">
                  <c:v>14.771518209950225</c:v>
                </c:pt>
                <c:pt idx="148">
                  <c:v>14.771518209950225</c:v>
                </c:pt>
                <c:pt idx="149">
                  <c:v>14.771518209950225</c:v>
                </c:pt>
                <c:pt idx="150">
                  <c:v>14.771518209950225</c:v>
                </c:pt>
                <c:pt idx="151">
                  <c:v>14.715413845564848</c:v>
                </c:pt>
                <c:pt idx="152">
                  <c:v>14.715413845564848</c:v>
                </c:pt>
                <c:pt idx="153">
                  <c:v>14.715413845564848</c:v>
                </c:pt>
                <c:pt idx="154">
                  <c:v>14.715413845564848</c:v>
                </c:pt>
                <c:pt idx="155">
                  <c:v>14.715413845564848</c:v>
                </c:pt>
                <c:pt idx="156">
                  <c:v>14.639296921584435</c:v>
                </c:pt>
                <c:pt idx="157">
                  <c:v>14.639296921584435</c:v>
                </c:pt>
                <c:pt idx="158">
                  <c:v>14.639296921584435</c:v>
                </c:pt>
                <c:pt idx="159">
                  <c:v>14.639296921584435</c:v>
                </c:pt>
                <c:pt idx="160">
                  <c:v>14.543480447816584</c:v>
                </c:pt>
                <c:pt idx="161">
                  <c:v>14.428356890409551</c:v>
                </c:pt>
                <c:pt idx="162">
                  <c:v>14.428356890409551</c:v>
                </c:pt>
                <c:pt idx="163">
                  <c:v>14.294395493941755</c:v>
                </c:pt>
                <c:pt idx="164">
                  <c:v>14.294395493941755</c:v>
                </c:pt>
                <c:pt idx="165">
                  <c:v>14.294395493941755</c:v>
                </c:pt>
                <c:pt idx="166">
                  <c:v>14.294395493941755</c:v>
                </c:pt>
                <c:pt idx="167">
                  <c:v>14.294395493941755</c:v>
                </c:pt>
                <c:pt idx="168">
                  <c:v>14.294395493941755</c:v>
                </c:pt>
                <c:pt idx="169">
                  <c:v>14.142139095428716</c:v>
                </c:pt>
                <c:pt idx="170">
                  <c:v>14.142139095428716</c:v>
                </c:pt>
                <c:pt idx="171">
                  <c:v>13.972200460516195</c:v>
                </c:pt>
                <c:pt idx="172">
                  <c:v>13.972200460516195</c:v>
                </c:pt>
                <c:pt idx="173">
                  <c:v>13.972200460516195</c:v>
                </c:pt>
                <c:pt idx="174">
                  <c:v>13.972200460516195</c:v>
                </c:pt>
                <c:pt idx="175">
                  <c:v>13.785258176456253</c:v>
                </c:pt>
                <c:pt idx="176">
                  <c:v>13.785258176456253</c:v>
                </c:pt>
                <c:pt idx="177">
                  <c:v>13.785258176456253</c:v>
                </c:pt>
                <c:pt idx="178">
                  <c:v>13.785258176456253</c:v>
                </c:pt>
                <c:pt idx="179">
                  <c:v>13.785258176456253</c:v>
                </c:pt>
                <c:pt idx="180">
                  <c:v>13.785258176456253</c:v>
                </c:pt>
                <c:pt idx="181">
                  <c:v>13.785258176456253</c:v>
                </c:pt>
                <c:pt idx="182">
                  <c:v>13.582052140374929</c:v>
                </c:pt>
                <c:pt idx="183">
                  <c:v>13.582052140374929</c:v>
                </c:pt>
                <c:pt idx="184">
                  <c:v>13.36337868478433</c:v>
                </c:pt>
                <c:pt idx="185">
                  <c:v>13.36337868478433</c:v>
                </c:pt>
                <c:pt idx="186">
                  <c:v>13.36337868478433</c:v>
                </c:pt>
                <c:pt idx="187">
                  <c:v>13.36337868478433</c:v>
                </c:pt>
                <c:pt idx="188">
                  <c:v>13.130085385240115</c:v>
                </c:pt>
                <c:pt idx="189">
                  <c:v>13.130085385240115</c:v>
                </c:pt>
                <c:pt idx="190">
                  <c:v>13.130085385240115</c:v>
                </c:pt>
                <c:pt idx="191">
                  <c:v>13.130085385240115</c:v>
                </c:pt>
                <c:pt idx="192">
                  <c:v>13.130085385240115</c:v>
                </c:pt>
                <c:pt idx="193">
                  <c:v>12.883065597456705</c:v>
                </c:pt>
                <c:pt idx="194">
                  <c:v>12.883065597456705</c:v>
                </c:pt>
                <c:pt idx="195">
                  <c:v>12.623252773055912</c:v>
                </c:pt>
                <c:pt idx="196">
                  <c:v>12.623252773055912</c:v>
                </c:pt>
                <c:pt idx="197">
                  <c:v>12.623252773055912</c:v>
                </c:pt>
                <c:pt idx="198">
                  <c:v>12.623252773055912</c:v>
                </c:pt>
                <c:pt idx="199">
                  <c:v>12.623252773055912</c:v>
                </c:pt>
                <c:pt idx="200">
                  <c:v>12.623252773055912</c:v>
                </c:pt>
                <c:pt idx="201">
                  <c:v>12.623252773055912</c:v>
                </c:pt>
                <c:pt idx="202">
                  <c:v>12.351614604415111</c:v>
                </c:pt>
                <c:pt idx="203">
                  <c:v>12.351614604415111</c:v>
                </c:pt>
                <c:pt idx="204">
                  <c:v>12.351614604415111</c:v>
                </c:pt>
                <c:pt idx="205">
                  <c:v>12.351614604415111</c:v>
                </c:pt>
                <c:pt idx="206">
                  <c:v>12.351614604415111</c:v>
                </c:pt>
                <c:pt idx="207">
                  <c:v>12.351614604415111</c:v>
                </c:pt>
                <c:pt idx="208">
                  <c:v>12.069147049804361</c:v>
                </c:pt>
                <c:pt idx="209">
                  <c:v>12.069147049804361</c:v>
                </c:pt>
                <c:pt idx="210">
                  <c:v>11.776868290144671</c:v>
                </c:pt>
                <c:pt idx="211">
                  <c:v>11.776868290144671</c:v>
                </c:pt>
                <c:pt idx="212">
                  <c:v>11.475812668306588</c:v>
                </c:pt>
                <c:pt idx="213">
                  <c:v>11.475812668306588</c:v>
                </c:pt>
                <c:pt idx="214">
                  <c:v>11.475812668306588</c:v>
                </c:pt>
                <c:pt idx="215">
                  <c:v>11.475812668306588</c:v>
                </c:pt>
                <c:pt idx="216">
                  <c:v>11.475812668306588</c:v>
                </c:pt>
                <c:pt idx="217">
                  <c:v>11.167024660902086</c:v>
                </c:pt>
                <c:pt idx="218">
                  <c:v>11.167024660902086</c:v>
                </c:pt>
                <c:pt idx="219">
                  <c:v>11.167024660902086</c:v>
                </c:pt>
                <c:pt idx="220">
                  <c:v>11.167024660902086</c:v>
                </c:pt>
                <c:pt idx="221">
                  <c:v>10.530444508553995</c:v>
                </c:pt>
                <c:pt idx="222">
                  <c:v>10.530444508553995</c:v>
                </c:pt>
                <c:pt idx="223">
                  <c:v>10.530444508553995</c:v>
                </c:pt>
                <c:pt idx="224">
                  <c:v>10.204739141712128</c:v>
                </c:pt>
                <c:pt idx="225">
                  <c:v>10.204739141712128</c:v>
                </c:pt>
                <c:pt idx="226">
                  <c:v>10.204739141712128</c:v>
                </c:pt>
                <c:pt idx="227">
                  <c:v>9.8754638617098198</c:v>
                </c:pt>
                <c:pt idx="228">
                  <c:v>9.8754638617098198</c:v>
                </c:pt>
                <c:pt idx="229">
                  <c:v>9.8754638617098198</c:v>
                </c:pt>
                <c:pt idx="230">
                  <c:v>9.8754638617098198</c:v>
                </c:pt>
                <c:pt idx="231">
                  <c:v>9.8754638617098198</c:v>
                </c:pt>
                <c:pt idx="232">
                  <c:v>9.5436277978610651</c:v>
                </c:pt>
                <c:pt idx="233">
                  <c:v>9.5436277978610651</c:v>
                </c:pt>
                <c:pt idx="234">
                  <c:v>9.2102172780089884</c:v>
                </c:pt>
                <c:pt idx="235">
                  <c:v>9.2102172780089884</c:v>
                </c:pt>
                <c:pt idx="236">
                  <c:v>8.8761912448132794</c:v>
                </c:pt>
                <c:pt idx="237">
                  <c:v>8.5424770145816584</c:v>
                </c:pt>
                <c:pt idx="238">
                  <c:v>8.5424770145816584</c:v>
                </c:pt>
                <c:pt idx="239">
                  <c:v>8.5424770145816584</c:v>
                </c:pt>
                <c:pt idx="240">
                  <c:v>8.2099664011543858</c:v>
                </c:pt>
                <c:pt idx="241">
                  <c:v>7.8795122230858308</c:v>
                </c:pt>
                <c:pt idx="242">
                  <c:v>7.8795122230858308</c:v>
                </c:pt>
                <c:pt idx="243">
                  <c:v>7.8795122230858308</c:v>
                </c:pt>
                <c:pt idx="244">
                  <c:v>7.5519252080685959</c:v>
                </c:pt>
                <c:pt idx="245">
                  <c:v>7.5519252080685959</c:v>
                </c:pt>
                <c:pt idx="246">
                  <c:v>7.2279713042497322</c:v>
                </c:pt>
                <c:pt idx="247">
                  <c:v>7.2279713042497322</c:v>
                </c:pt>
                <c:pt idx="248">
                  <c:v>7.2279713042497322</c:v>
                </c:pt>
                <c:pt idx="249">
                  <c:v>6.5937894804904493</c:v>
                </c:pt>
                <c:pt idx="250">
                  <c:v>6.5937894804904493</c:v>
                </c:pt>
                <c:pt idx="251">
                  <c:v>6.5937894804904493</c:v>
                </c:pt>
                <c:pt idx="252">
                  <c:v>6.5937894804904493</c:v>
                </c:pt>
                <c:pt idx="253">
                  <c:v>6.5937894804904493</c:v>
                </c:pt>
                <c:pt idx="254">
                  <c:v>6.2848511372665286</c:v>
                </c:pt>
                <c:pt idx="255">
                  <c:v>6.2848511372665286</c:v>
                </c:pt>
                <c:pt idx="256">
                  <c:v>5.6861198628245866</c:v>
                </c:pt>
                <c:pt idx="257">
                  <c:v>5.6861198628245866</c:v>
                </c:pt>
                <c:pt idx="258">
                  <c:v>5.6861198628245866</c:v>
                </c:pt>
                <c:pt idx="259">
                  <c:v>5.3973068203803711</c:v>
                </c:pt>
                <c:pt idx="260">
                  <c:v>5.3973068203803711</c:v>
                </c:pt>
                <c:pt idx="261">
                  <c:v>5.116094958386098</c:v>
                </c:pt>
                <c:pt idx="262">
                  <c:v>4.8428439957451221</c:v>
                </c:pt>
                <c:pt idx="263">
                  <c:v>4.8428439957451221</c:v>
                </c:pt>
                <c:pt idx="264">
                  <c:v>4.5778626098782826</c:v>
                </c:pt>
                <c:pt idx="265">
                  <c:v>4.0736947552691412</c:v>
                </c:pt>
                <c:pt idx="266">
                  <c:v>4.0736947552691412</c:v>
                </c:pt>
                <c:pt idx="267">
                  <c:v>3.8348814058367453</c:v>
                </c:pt>
                <c:pt idx="268">
                  <c:v>3.8348814058367453</c:v>
                </c:pt>
                <c:pt idx="269">
                  <c:v>3.8348814058367453</c:v>
                </c:pt>
                <c:pt idx="270">
                  <c:v>3.1728143206246524</c:v>
                </c:pt>
                <c:pt idx="271">
                  <c:v>2.4171695587357269</c:v>
                </c:pt>
                <c:pt idx="272">
                  <c:v>2.250472514495669</c:v>
                </c:pt>
                <c:pt idx="273">
                  <c:v>2.0923806881879066</c:v>
                </c:pt>
                <c:pt idx="274">
                  <c:v>1.8012577454927305</c:v>
                </c:pt>
                <c:pt idx="275">
                  <c:v>1.6678002314537108</c:v>
                </c:pt>
                <c:pt idx="276">
                  <c:v>1.5421001915220343</c:v>
                </c:pt>
                <c:pt idx="277">
                  <c:v>1.4239067385775162</c:v>
                </c:pt>
                <c:pt idx="278">
                  <c:v>1.1117080876572663</c:v>
                </c:pt>
                <c:pt idx="279">
                  <c:v>0.93612147753643715</c:v>
                </c:pt>
                <c:pt idx="280">
                  <c:v>0.93612147753643715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95F-44AE-BA83-5847CCA03CBE}"/>
            </c:ext>
          </c:extLst>
        </c:ser>
        <c:ser>
          <c:idx val="2"/>
          <c:order val="2"/>
          <c:tx>
            <c:v>Mean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Sheet1!$E$8:$E$9</c:f>
              <c:numCache>
                <c:formatCode>0.000</c:formatCode>
                <c:ptCount val="2"/>
                <c:pt idx="0">
                  <c:v>2.5007437722419925</c:v>
                </c:pt>
                <c:pt idx="1">
                  <c:v>2.5007437722419925</c:v>
                </c:pt>
              </c:numCache>
            </c:numRef>
          </c:xVal>
          <c:yVal>
            <c:numRef>
              <c:f>Sheet1!$F$8:$F$9</c:f>
              <c:numCache>
                <c:formatCode>General</c:formatCode>
                <c:ptCount val="2"/>
                <c:pt idx="0">
                  <c:v>0</c:v>
                </c:pt>
                <c:pt idx="1">
                  <c:v>14.823518623503473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95F-44AE-BA83-5847CCA03CBE}"/>
            </c:ext>
          </c:extLst>
        </c:ser>
        <c:ser>
          <c:idx val="3"/>
          <c:order val="3"/>
          <c:tx>
            <c:v>-3 Sigma</c:v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5436948258973313E-2"/>
                  <c:y val="-0.1495726495726497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-3Sigma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95F-44AE-BA83-5847CCA03C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Sheet1!$E$11:$E$12</c:f>
              <c:numCache>
                <c:formatCode>General</c:formatCode>
                <c:ptCount val="2"/>
                <c:pt idx="0">
                  <c:v>2.4200053948295834</c:v>
                </c:pt>
                <c:pt idx="1">
                  <c:v>2.4200053948295834</c:v>
                </c:pt>
              </c:numCache>
            </c:numRef>
          </c:xVal>
          <c:yVal>
            <c:numRef>
              <c:f>Sheet1!$F$11:$F$12</c:f>
              <c:numCache>
                <c:formatCode>General</c:formatCode>
                <c:ptCount val="2"/>
                <c:pt idx="0">
                  <c:v>0</c:v>
                </c:pt>
                <c:pt idx="1">
                  <c:v>0.16467441707307043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95F-44AE-BA83-5847CCA03CBE}"/>
            </c:ext>
          </c:extLst>
        </c:ser>
        <c:ser>
          <c:idx val="4"/>
          <c:order val="4"/>
          <c:tx>
            <c:v>+3 Sigma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6.4369010033545532E-2"/>
                  <c:y val="-0.1602564102564102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+3 Sigma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95F-44AE-BA83-5847CCA03C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Sheet1!$E$14:$E$15</c:f>
              <c:numCache>
                <c:formatCode>General</c:formatCode>
                <c:ptCount val="2"/>
                <c:pt idx="0">
                  <c:v>2.5814821496544016</c:v>
                </c:pt>
                <c:pt idx="1">
                  <c:v>2.5814821496544016</c:v>
                </c:pt>
              </c:numCache>
            </c:numRef>
          </c:xVal>
          <c:yVal>
            <c:numRef>
              <c:f>Sheet1!$F$14:$F$15</c:f>
              <c:numCache>
                <c:formatCode>General</c:formatCode>
                <c:ptCount val="2"/>
                <c:pt idx="0">
                  <c:v>0</c:v>
                </c:pt>
                <c:pt idx="1">
                  <c:v>0.16467441707307043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95F-44AE-BA83-5847CCA03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13440"/>
        <c:axId val="159793280"/>
      </c:scatterChart>
      <c:valAx>
        <c:axId val="159915200"/>
        <c:scaling>
          <c:orientation val="minMax"/>
          <c:max val="2.6"/>
          <c:min val="2.3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Penny</a:t>
                </a:r>
                <a:r>
                  <a:rPr lang="en-US" baseline="0"/>
                  <a:t> Mass, 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15680"/>
        <c:crosses val="autoZero"/>
        <c:crossBetween val="midCat"/>
        <c:majorUnit val="1.0000000000000002E-2"/>
      </c:valAx>
      <c:valAx>
        <c:axId val="15991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3.047339766951198E-2"/>
              <c:y val="0.384940415034750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15200"/>
        <c:crosses val="autoZero"/>
        <c:crossBetween val="midCat"/>
      </c:valAx>
      <c:valAx>
        <c:axId val="159793280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13440"/>
        <c:crosses val="max"/>
        <c:crossBetween val="midCat"/>
      </c:valAx>
      <c:valAx>
        <c:axId val="159813440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159793280"/>
        <c:crosses val="autoZero"/>
        <c:crossBetween val="midCat"/>
      </c:valAx>
      <c:spPr>
        <a:noFill/>
        <a:ln w="12700"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Data for 281 Pennies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Data for 281 Pennies </a:t>
          </a:r>
        </a:p>
      </cx:txPr>
    </cx:title>
    <cx:plotArea>
      <cx:plotAreaRegion>
        <cx:series layoutId="clusteredColumn" uniqueId="{D60E14F0-C641-48EE-A737-336A5B90234D}">
          <cx:tx>
            <cx:txData>
              <cx:f>_xlchart.v1.0</cx:f>
              <cx:v>Mass, g</cx:v>
            </cx:txData>
          </cx:tx>
          <cx:dataLabels>
            <cx:visibility seriesName="0" categoryName="0" value="1"/>
            <cx:separator>, </cx:separator>
          </cx:dataLabels>
          <cx:dataId val="0"/>
          <cx:layoutPr>
            <cx:binning intervalClosed="r">
              <cx:binSize val="0.010000000000000002"/>
            </cx:binning>
          </cx:layoutPr>
        </cx:series>
      </cx:plotAreaRegion>
      <cx:axis id="0">
        <cx:catScaling gapWidth="0"/>
        <cx:title>
          <cx:tx>
            <cx:txData>
              <cx:v>penny mass, g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penny mass, g</a:t>
              </a:r>
            </a:p>
          </cx:txPr>
        </cx:title>
        <cx:tickLabels/>
        <cx:numFmt formatCode="0.00" sourceLinked="0"/>
        <cx:txPr>
          <a:bodyPr vertOverflow="overflow" horzOverflow="overflow" wrap="square" lIns="0" tIns="0" rIns="0" bIns="0"/>
          <a:lstStyle/>
          <a:p>
            <a:pPr algn="ctr" rtl="0">
              <a:defRPr sz="900" b="0" i="0" baseline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baseline="0"/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 baseline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baseline="0"/>
          </a:p>
        </cx:txPr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510888</xdr:colOff>
      <xdr:row>1</xdr:row>
      <xdr:rowOff>172316</xdr:rowOff>
    </xdr:from>
    <xdr:to>
      <xdr:col>16</xdr:col>
      <xdr:colOff>192233</xdr:colOff>
      <xdr:row>21</xdr:row>
      <xdr:rowOff>34635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18D42E-237D-4FD8-DD82-9779A735E0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695325</xdr:colOff>
      <xdr:row>24</xdr:row>
      <xdr:rowOff>133350</xdr:rowOff>
    </xdr:from>
    <xdr:to>
      <xdr:col>17</xdr:col>
      <xdr:colOff>233364</xdr:colOff>
      <xdr:row>45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40945BD3-8019-4D36-87CF-FA6B7CFC76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2005" y="4712970"/>
              <a:ext cx="6060759" cy="4048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0.85749</cdr:x>
      <cdr:y>0.25253</cdr:y>
    </cdr:from>
    <cdr:to>
      <cdr:x>0.98656</cdr:x>
      <cdr:y>0.50153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51E5B03-E9F0-C86A-D00C-41CE0F86F37B}"/>
            </a:ext>
          </a:extLst>
        </cdr:cNvPr>
        <cdr:cNvSpPr txBox="1"/>
      </cdr:nvSpPr>
      <cdr:spPr>
        <a:xfrm xmlns:a="http://schemas.openxmlformats.org/drawingml/2006/main">
          <a:off x="6075218" y="92738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Mean:2.501 g</a:t>
          </a:r>
        </a:p>
        <a:p xmlns:a="http://schemas.openxmlformats.org/drawingml/2006/main">
          <a:r>
            <a:rPr lang="en-US" sz="1100" kern="1200"/>
            <a:t>S.D:</a:t>
          </a:r>
          <a:r>
            <a:rPr lang="en-US" sz="1100" kern="1200" baseline="0"/>
            <a:t> 0.027</a:t>
          </a:r>
        </a:p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0.54265</cdr:x>
      <cdr:y>0.20773</cdr:y>
    </cdr:from>
    <cdr:to>
      <cdr:x>0.64899</cdr:x>
      <cdr:y>0.32327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8DD5C994-BD7B-A15E-B8CD-BB1E1A64DC4E}"/>
            </a:ext>
          </a:extLst>
        </cdr:cNvPr>
        <cdr:cNvCxnSpPr/>
      </cdr:nvCxnSpPr>
      <cdr:spPr>
        <a:xfrm xmlns:a="http://schemas.openxmlformats.org/drawingml/2006/main" flipH="1">
          <a:off x="3844635" y="762866"/>
          <a:ext cx="753341" cy="42429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0.63676</cdr:x>
      <cdr:y>0.14171</cdr:y>
    </cdr:from>
    <cdr:to>
      <cdr:x>0.76583</cdr:x>
      <cdr:y>0.39071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B72BB46B-4C3F-8A77-BF8C-EB474310950C}"/>
            </a:ext>
          </a:extLst>
        </cdr:cNvPr>
        <cdr:cNvSpPr txBox="1"/>
      </cdr:nvSpPr>
      <cdr:spPr>
        <a:xfrm xmlns:a="http://schemas.openxmlformats.org/drawingml/2006/main">
          <a:off x="4511385" y="52041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Calculated</a:t>
          </a:r>
          <a:r>
            <a:rPr lang="en-US" sz="1100" kern="1200" baseline="0"/>
            <a:t> Gaussian</a:t>
          </a:r>
        </a:p>
        <a:p xmlns:a="http://schemas.openxmlformats.org/drawingml/2006/main">
          <a:r>
            <a:rPr lang="en-US" sz="1100" kern="1200" baseline="0"/>
            <a:t>Curve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DengXian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DengXian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"/>
  <sheetViews>
    <sheetView zoomScale="110" zoomScaleNormal="110" workbookViewId="0">
      <selection activeCell="I23" sqref="I23"/>
    </sheetView>
  </sheetViews>
  <sheetFormatPr defaultColWidth="10.69921875" defaultRowHeight="15" x14ac:dyDescent="0.3"/>
  <cols>
    <col min="1" max="1" width="10.69921875" style="1"/>
    <col min="2" max="2" width="10.69921875" style="2"/>
    <col min="3" max="4" width="10.69921875" style="1"/>
    <col min="5" max="5" width="12.59765625" style="1" customWidth="1"/>
    <col min="6" max="6" width="13.8984375" style="1" bestFit="1" customWidth="1"/>
    <col min="7" max="16384" width="10.69921875" style="1"/>
  </cols>
  <sheetData>
    <row r="1" spans="1:9" ht="15.6" x14ac:dyDescent="0.3">
      <c r="A1" s="3" t="s">
        <v>0</v>
      </c>
      <c r="B1" s="4" t="s">
        <v>1</v>
      </c>
      <c r="C1" s="3" t="s">
        <v>2</v>
      </c>
      <c r="G1" s="1" t="s">
        <v>34</v>
      </c>
      <c r="H1" s="1" t="s">
        <v>35</v>
      </c>
      <c r="I1" s="4"/>
    </row>
    <row r="2" spans="1:9" x14ac:dyDescent="0.3">
      <c r="A2" s="1">
        <v>1996</v>
      </c>
      <c r="B2" s="2">
        <v>2.403</v>
      </c>
      <c r="C2" s="1" t="s">
        <v>3</v>
      </c>
      <c r="E2" s="1" t="s">
        <v>6</v>
      </c>
      <c r="F2" s="2">
        <f>AVERAGE(B2:B282)</f>
        <v>2.5007437722419925</v>
      </c>
      <c r="G2" s="1">
        <v>2.4</v>
      </c>
      <c r="H2" s="1">
        <v>1</v>
      </c>
      <c r="I2" s="2"/>
    </row>
    <row r="3" spans="1:9" x14ac:dyDescent="0.3">
      <c r="A3" s="1">
        <v>2017</v>
      </c>
      <c r="B3" s="2">
        <v>2.4359999999999999</v>
      </c>
      <c r="C3" s="1" t="s">
        <v>4</v>
      </c>
      <c r="E3" s="1" t="s">
        <v>21</v>
      </c>
      <c r="F3" s="1">
        <f>STDEVA(B2:B282)</f>
        <v>2.6912792470803026E-2</v>
      </c>
      <c r="G3" s="1">
        <v>2.41</v>
      </c>
      <c r="H3" s="1">
        <v>0</v>
      </c>
      <c r="I3" s="2"/>
    </row>
    <row r="4" spans="1:9" x14ac:dyDescent="0.3">
      <c r="A4" s="1">
        <v>2009</v>
      </c>
      <c r="B4" s="2">
        <v>2.4390000000000001</v>
      </c>
      <c r="C4" s="1" t="s">
        <v>3</v>
      </c>
      <c r="E4" s="1" t="s">
        <v>32</v>
      </c>
      <c r="F4" s="2">
        <f>MAX(B2:B282)</f>
        <v>2.5640000000000001</v>
      </c>
      <c r="G4" s="1">
        <v>2.42</v>
      </c>
      <c r="H4" s="1">
        <v>0</v>
      </c>
      <c r="I4" s="2"/>
    </row>
    <row r="5" spans="1:9" x14ac:dyDescent="0.3">
      <c r="A5" s="1">
        <v>1989</v>
      </c>
      <c r="B5" s="2">
        <v>2.444</v>
      </c>
      <c r="C5" s="1" t="s">
        <v>3</v>
      </c>
      <c r="E5" s="1" t="s">
        <v>33</v>
      </c>
      <c r="F5" s="2">
        <f>MIN(B2:B282)</f>
        <v>2.403</v>
      </c>
      <c r="G5" s="1">
        <v>2.4300000000000002</v>
      </c>
      <c r="H5" s="1">
        <v>2</v>
      </c>
      <c r="I5" s="2"/>
    </row>
    <row r="6" spans="1:9" x14ac:dyDescent="0.3">
      <c r="A6" s="1">
        <v>2008</v>
      </c>
      <c r="B6" s="2">
        <v>2.444</v>
      </c>
      <c r="C6" s="1" t="s">
        <v>4</v>
      </c>
      <c r="E6" s="1">
        <f>COUNT(B2:B282)</f>
        <v>281</v>
      </c>
      <c r="G6" s="1">
        <v>2.44</v>
      </c>
      <c r="H6" s="1">
        <v>6</v>
      </c>
      <c r="I6" s="2"/>
    </row>
    <row r="7" spans="1:9" x14ac:dyDescent="0.3">
      <c r="A7" s="1">
        <v>2016</v>
      </c>
      <c r="B7" s="2">
        <v>2.4470000000000001</v>
      </c>
      <c r="C7" s="1" t="s">
        <v>4</v>
      </c>
      <c r="G7" s="1">
        <v>2.4500000000000002</v>
      </c>
      <c r="H7" s="1">
        <v>19</v>
      </c>
      <c r="I7" s="2"/>
    </row>
    <row r="8" spans="1:9" x14ac:dyDescent="0.3">
      <c r="A8" s="1">
        <v>1983</v>
      </c>
      <c r="B8" s="2">
        <v>2.448</v>
      </c>
      <c r="C8" s="1" t="s">
        <v>3</v>
      </c>
      <c r="E8" s="2">
        <f>AVERAGE(B2:B282)</f>
        <v>2.5007437722419925</v>
      </c>
      <c r="F8" s="1">
        <v>0</v>
      </c>
      <c r="G8" s="1">
        <v>2.46</v>
      </c>
      <c r="H8" s="1">
        <v>16</v>
      </c>
      <c r="I8" s="2"/>
    </row>
    <row r="9" spans="1:9" x14ac:dyDescent="0.3">
      <c r="A9" s="1">
        <v>1996</v>
      </c>
      <c r="B9" s="2">
        <v>2.4510000000000001</v>
      </c>
      <c r="C9" s="1" t="s">
        <v>4</v>
      </c>
      <c r="E9" s="2">
        <f>AVERAGE(B2:B282)</f>
        <v>2.5007437722419925</v>
      </c>
      <c r="F9" s="1">
        <f>_xlfn.NORM.DIST(E9,$F$2,$F$3,FALSE)</f>
        <v>14.823518623503473</v>
      </c>
      <c r="G9" s="1">
        <v>2.4700000000000002</v>
      </c>
      <c r="H9" s="1">
        <v>26</v>
      </c>
      <c r="I9" s="2"/>
    </row>
    <row r="10" spans="1:9" x14ac:dyDescent="0.3">
      <c r="A10" s="1">
        <v>2016</v>
      </c>
      <c r="B10" s="2">
        <v>2.452</v>
      </c>
      <c r="C10" s="1" t="s">
        <v>3</v>
      </c>
      <c r="G10" s="1">
        <v>2.48</v>
      </c>
      <c r="H10" s="1">
        <v>43</v>
      </c>
      <c r="I10" s="2"/>
    </row>
    <row r="11" spans="1:9" x14ac:dyDescent="0.3">
      <c r="A11" s="1">
        <v>1995</v>
      </c>
      <c r="B11" s="2">
        <v>2.4540000000000002</v>
      </c>
      <c r="C11" s="1" t="s">
        <v>3</v>
      </c>
      <c r="D11" s="1" t="s">
        <v>39</v>
      </c>
      <c r="E11" s="1">
        <f>F2-F3*3</f>
        <v>2.4200053948295834</v>
      </c>
      <c r="F11" s="1">
        <v>0</v>
      </c>
      <c r="G11" s="1">
        <v>2.4900000000000002</v>
      </c>
      <c r="H11" s="1">
        <v>38</v>
      </c>
      <c r="I11" s="2"/>
    </row>
    <row r="12" spans="1:9" x14ac:dyDescent="0.3">
      <c r="A12" s="1">
        <v>2000</v>
      </c>
      <c r="B12" s="2">
        <v>2.456</v>
      </c>
      <c r="C12" s="1" t="s">
        <v>4</v>
      </c>
      <c r="E12" s="1">
        <v>2.4200053948295834</v>
      </c>
      <c r="F12" s="1">
        <f>_xlfn.NORM.DIST(E12,$F$2,$F$3,FALSE)</f>
        <v>0.16467441707307043</v>
      </c>
      <c r="G12" s="1">
        <v>2.5</v>
      </c>
      <c r="H12" s="1">
        <v>37</v>
      </c>
      <c r="I12" s="2"/>
    </row>
    <row r="13" spans="1:9" x14ac:dyDescent="0.3">
      <c r="A13" s="1">
        <v>2014</v>
      </c>
      <c r="B13" s="2">
        <v>2.456</v>
      </c>
      <c r="C13" s="1" t="s">
        <v>4</v>
      </c>
      <c r="G13" s="1">
        <v>2.5099999999999998</v>
      </c>
      <c r="H13" s="1">
        <v>36</v>
      </c>
      <c r="I13" s="2"/>
    </row>
    <row r="14" spans="1:9" x14ac:dyDescent="0.3">
      <c r="A14" s="1">
        <v>1997</v>
      </c>
      <c r="B14" s="2">
        <v>2.4569999999999999</v>
      </c>
      <c r="C14" s="1" t="s">
        <v>3</v>
      </c>
      <c r="D14" s="1" t="s">
        <v>40</v>
      </c>
      <c r="E14" s="1">
        <f>F2+F3*3</f>
        <v>2.5814821496544016</v>
      </c>
      <c r="F14" s="1">
        <v>0</v>
      </c>
      <c r="G14" s="1">
        <v>2.52</v>
      </c>
      <c r="H14" s="1">
        <v>25</v>
      </c>
      <c r="I14" s="2"/>
    </row>
    <row r="15" spans="1:9" x14ac:dyDescent="0.3">
      <c r="A15" s="1">
        <v>2001</v>
      </c>
      <c r="B15" s="2">
        <v>2.4569999999999999</v>
      </c>
      <c r="C15" s="1" t="s">
        <v>4</v>
      </c>
      <c r="E15" s="1">
        <v>2.5814821496544016</v>
      </c>
      <c r="F15" s="1">
        <f>_xlfn.NORM.DIST(E15,$F$2,$F$3,FALSE)</f>
        <v>0.16467441707307043</v>
      </c>
      <c r="G15" s="1">
        <v>2.5299999999999998</v>
      </c>
      <c r="H15" s="1">
        <v>16</v>
      </c>
      <c r="I15" s="2"/>
    </row>
    <row r="16" spans="1:9" x14ac:dyDescent="0.3">
      <c r="A16" s="1">
        <v>2002</v>
      </c>
      <c r="B16" s="2">
        <v>2.4569999999999999</v>
      </c>
      <c r="C16" s="1" t="s">
        <v>3</v>
      </c>
      <c r="G16" s="1">
        <v>2.54</v>
      </c>
      <c r="H16" s="1">
        <v>8</v>
      </c>
      <c r="I16" s="2"/>
    </row>
    <row r="17" spans="1:9" x14ac:dyDescent="0.3">
      <c r="A17" s="1">
        <v>1985</v>
      </c>
      <c r="B17" s="2">
        <v>2.4580000000000002</v>
      </c>
      <c r="C17" s="1" t="s">
        <v>3</v>
      </c>
      <c r="G17" s="1">
        <v>2.5499999999999998</v>
      </c>
      <c r="H17" s="1">
        <v>6</v>
      </c>
      <c r="I17" s="2"/>
    </row>
    <row r="18" spans="1:9" x14ac:dyDescent="0.3">
      <c r="A18" s="1">
        <v>1995</v>
      </c>
      <c r="B18" s="2">
        <v>2.4580000000000002</v>
      </c>
      <c r="C18" s="1" t="s">
        <v>4</v>
      </c>
      <c r="G18" s="1">
        <v>2.56</v>
      </c>
      <c r="H18" s="1">
        <v>2</v>
      </c>
      <c r="I18" s="2"/>
    </row>
    <row r="19" spans="1:9" x14ac:dyDescent="0.3">
      <c r="A19" s="1">
        <v>1992</v>
      </c>
      <c r="B19" s="2">
        <v>2.46</v>
      </c>
      <c r="C19" s="1" t="s">
        <v>3</v>
      </c>
      <c r="E19" s="1" t="s">
        <v>36</v>
      </c>
      <c r="F19" s="1" t="s">
        <v>37</v>
      </c>
      <c r="G19" s="1" t="s">
        <v>38</v>
      </c>
      <c r="I19" s="2"/>
    </row>
    <row r="20" spans="1:9" x14ac:dyDescent="0.3">
      <c r="A20" s="1">
        <v>1997</v>
      </c>
      <c r="B20" s="2">
        <v>2.46</v>
      </c>
      <c r="C20" s="1" t="s">
        <v>4</v>
      </c>
      <c r="E20" s="1">
        <v>0</v>
      </c>
      <c r="F20" s="2">
        <v>2.403</v>
      </c>
      <c r="G20" s="1">
        <f>_xlfn.NORM.DIST(F20,$F$2,$F$3,FALSE)</f>
        <v>2.0261636667495055E-2</v>
      </c>
      <c r="I20" s="2"/>
    </row>
    <row r="21" spans="1:9" x14ac:dyDescent="0.3">
      <c r="A21" s="1">
        <v>2000</v>
      </c>
      <c r="B21" s="2">
        <v>2.46</v>
      </c>
      <c r="C21" s="1" t="s">
        <v>4</v>
      </c>
      <c r="E21" s="1">
        <v>1</v>
      </c>
      <c r="F21" s="2">
        <v>2.4359999999999999</v>
      </c>
      <c r="G21" s="1">
        <f t="shared" ref="G21:G84" si="0">_xlfn.NORM.DIST(F21,$F$2,$F$3,FALSE)</f>
        <v>0.82081995085404291</v>
      </c>
      <c r="I21" s="2"/>
    </row>
    <row r="22" spans="1:9" x14ac:dyDescent="0.3">
      <c r="A22" s="1">
        <v>2012</v>
      </c>
      <c r="B22" s="2">
        <v>2.4609999999999999</v>
      </c>
      <c r="C22" s="1" t="s">
        <v>3</v>
      </c>
      <c r="E22" s="1">
        <v>2</v>
      </c>
      <c r="F22" s="2">
        <v>2.4390000000000001</v>
      </c>
      <c r="G22" s="1">
        <f t="shared" si="0"/>
        <v>1.0666259700061964</v>
      </c>
      <c r="I22" s="2"/>
    </row>
    <row r="23" spans="1:9" x14ac:dyDescent="0.3">
      <c r="A23" s="1">
        <v>1986</v>
      </c>
      <c r="B23" s="2">
        <v>2.4620000000000002</v>
      </c>
      <c r="C23" s="1" t="s">
        <v>4</v>
      </c>
      <c r="E23" s="1">
        <v>3</v>
      </c>
      <c r="F23" s="2">
        <v>2.444</v>
      </c>
      <c r="G23" s="1">
        <f t="shared" si="0"/>
        <v>1.6055620484553557</v>
      </c>
      <c r="I23" s="2"/>
    </row>
    <row r="24" spans="1:9" x14ac:dyDescent="0.3">
      <c r="A24" s="1">
        <v>1989</v>
      </c>
      <c r="B24" s="2">
        <v>2.4620000000000002</v>
      </c>
      <c r="C24" s="1" t="s">
        <v>4</v>
      </c>
      <c r="E24" s="1">
        <v>4</v>
      </c>
      <c r="F24" s="2">
        <v>2.444</v>
      </c>
      <c r="G24" s="1">
        <f t="shared" si="0"/>
        <v>1.6055620484553557</v>
      </c>
      <c r="I24" s="2"/>
    </row>
    <row r="25" spans="1:9" x14ac:dyDescent="0.3">
      <c r="A25" s="1">
        <v>1997</v>
      </c>
      <c r="B25" s="2">
        <v>2.4620000000000002</v>
      </c>
      <c r="C25" s="1" t="s">
        <v>3</v>
      </c>
      <c r="E25" s="1">
        <v>5</v>
      </c>
      <c r="F25" s="2">
        <v>2.4470000000000001</v>
      </c>
      <c r="G25" s="1">
        <f t="shared" si="0"/>
        <v>2.0183699544574103</v>
      </c>
      <c r="I25" s="2"/>
    </row>
    <row r="26" spans="1:9" x14ac:dyDescent="0.3">
      <c r="A26" s="1">
        <v>2003</v>
      </c>
      <c r="B26" s="2">
        <v>2.4620000000000002</v>
      </c>
      <c r="C26" s="1" t="s">
        <v>3</v>
      </c>
      <c r="E26" s="1">
        <v>6</v>
      </c>
      <c r="F26" s="2">
        <v>2.448</v>
      </c>
      <c r="G26" s="1">
        <f t="shared" si="0"/>
        <v>2.1723315909584029</v>
      </c>
      <c r="I26" s="2"/>
    </row>
    <row r="27" spans="1:9" x14ac:dyDescent="0.3">
      <c r="A27" s="1">
        <v>2012</v>
      </c>
      <c r="B27" s="2">
        <v>2.4620000000000002</v>
      </c>
      <c r="C27" s="1" t="s">
        <v>3</v>
      </c>
      <c r="E27" s="1">
        <v>7</v>
      </c>
      <c r="F27" s="2">
        <v>2.4510000000000001</v>
      </c>
      <c r="G27" s="1">
        <f t="shared" si="0"/>
        <v>2.6859907400147165</v>
      </c>
      <c r="I27" s="2"/>
    </row>
    <row r="28" spans="1:9" x14ac:dyDescent="0.3">
      <c r="A28" s="1">
        <v>2012</v>
      </c>
      <c r="B28" s="2">
        <v>2.4620000000000002</v>
      </c>
      <c r="C28" s="1" t="s">
        <v>3</v>
      </c>
      <c r="E28" s="1">
        <v>8</v>
      </c>
      <c r="F28" s="2">
        <v>2.452</v>
      </c>
      <c r="G28" s="1">
        <f t="shared" si="0"/>
        <v>2.874957492893961</v>
      </c>
      <c r="I28" s="2"/>
    </row>
    <row r="29" spans="1:9" x14ac:dyDescent="0.3">
      <c r="A29" s="1">
        <v>2010</v>
      </c>
      <c r="B29" s="2">
        <v>2.4630000000000001</v>
      </c>
      <c r="C29" s="1" t="s">
        <v>3</v>
      </c>
      <c r="E29" s="1">
        <v>9</v>
      </c>
      <c r="F29" s="2">
        <v>2.4540000000000002</v>
      </c>
      <c r="G29" s="1">
        <f t="shared" si="0"/>
        <v>3.2800951354695149</v>
      </c>
      <c r="I29" s="2"/>
    </row>
    <row r="30" spans="1:9" x14ac:dyDescent="0.3">
      <c r="A30" s="1">
        <v>1994</v>
      </c>
      <c r="B30" s="2">
        <v>2.464</v>
      </c>
      <c r="C30" s="1" t="s">
        <v>3</v>
      </c>
      <c r="E30" s="1">
        <v>10</v>
      </c>
      <c r="F30" s="2">
        <v>2.456</v>
      </c>
      <c r="G30" s="1">
        <f t="shared" si="0"/>
        <v>3.7217142372028116</v>
      </c>
      <c r="I30" s="2"/>
    </row>
    <row r="31" spans="1:9" x14ac:dyDescent="0.3">
      <c r="A31" s="1">
        <v>1986</v>
      </c>
      <c r="B31" s="2">
        <v>2.4660000000000002</v>
      </c>
      <c r="C31" s="1" t="s">
        <v>4</v>
      </c>
      <c r="E31" s="1">
        <v>11</v>
      </c>
      <c r="F31" s="2">
        <v>2.456</v>
      </c>
      <c r="G31" s="1">
        <f t="shared" si="0"/>
        <v>3.7217142372028116</v>
      </c>
      <c r="I31" s="2"/>
    </row>
    <row r="32" spans="1:9" x14ac:dyDescent="0.3">
      <c r="A32" s="1">
        <v>2003</v>
      </c>
      <c r="B32" s="2">
        <v>2.4660000000000002</v>
      </c>
      <c r="C32" s="1" t="s">
        <v>4</v>
      </c>
      <c r="E32" s="1">
        <v>12</v>
      </c>
      <c r="F32" s="2">
        <v>2.4569999999999999</v>
      </c>
      <c r="G32" s="1">
        <f t="shared" si="0"/>
        <v>3.9561423043743522</v>
      </c>
      <c r="I32" s="2"/>
    </row>
    <row r="33" spans="1:9" x14ac:dyDescent="0.3">
      <c r="A33" s="1">
        <v>2017</v>
      </c>
      <c r="B33" s="2">
        <v>2.4660000000000002</v>
      </c>
      <c r="C33" s="1" t="s">
        <v>4</v>
      </c>
      <c r="E33" s="1">
        <v>13</v>
      </c>
      <c r="F33" s="2">
        <v>2.4569999999999999</v>
      </c>
      <c r="G33" s="1">
        <f t="shared" si="0"/>
        <v>3.9561423043743522</v>
      </c>
      <c r="I33" s="2"/>
    </row>
    <row r="34" spans="1:9" x14ac:dyDescent="0.3">
      <c r="A34" s="1">
        <v>1989</v>
      </c>
      <c r="B34" s="2">
        <v>2.4670000000000001</v>
      </c>
      <c r="C34" s="1" t="s">
        <v>4</v>
      </c>
      <c r="E34" s="1">
        <v>14</v>
      </c>
      <c r="F34" s="2">
        <v>2.4569999999999999</v>
      </c>
      <c r="G34" s="1">
        <f t="shared" si="0"/>
        <v>3.9561423043743522</v>
      </c>
      <c r="I34" s="2"/>
    </row>
    <row r="35" spans="1:9" x14ac:dyDescent="0.3">
      <c r="A35" s="1">
        <v>1998</v>
      </c>
      <c r="B35" s="2">
        <v>2.4670000000000001</v>
      </c>
      <c r="C35" s="1" t="s">
        <v>4</v>
      </c>
      <c r="E35" s="1">
        <v>15</v>
      </c>
      <c r="F35" s="2">
        <v>2.4580000000000002</v>
      </c>
      <c r="G35" s="1">
        <f t="shared" si="0"/>
        <v>4.1995347475766689</v>
      </c>
      <c r="I35" s="2"/>
    </row>
    <row r="36" spans="1:9" x14ac:dyDescent="0.3">
      <c r="A36" s="1">
        <v>1988</v>
      </c>
      <c r="B36" s="2">
        <v>2.4689999999999999</v>
      </c>
      <c r="C36" s="1" t="s">
        <v>4</v>
      </c>
      <c r="E36" s="1">
        <v>16</v>
      </c>
      <c r="F36" s="2">
        <v>2.4580000000000002</v>
      </c>
      <c r="G36" s="1">
        <f t="shared" si="0"/>
        <v>4.1995347475766689</v>
      </c>
      <c r="I36" s="2"/>
    </row>
    <row r="37" spans="1:9" x14ac:dyDescent="0.3">
      <c r="A37" s="1">
        <v>1988</v>
      </c>
      <c r="B37" s="2">
        <v>2.4689999999999999</v>
      </c>
      <c r="C37" s="1" t="s">
        <v>4</v>
      </c>
      <c r="E37" s="1">
        <v>17</v>
      </c>
      <c r="F37" s="2">
        <v>2.46</v>
      </c>
      <c r="G37" s="1">
        <f t="shared" si="0"/>
        <v>4.7126035462413149</v>
      </c>
      <c r="I37" s="2"/>
    </row>
    <row r="38" spans="1:9" x14ac:dyDescent="0.3">
      <c r="A38" s="1">
        <v>2006</v>
      </c>
      <c r="B38" s="2">
        <v>2.4689999999999999</v>
      </c>
      <c r="C38" s="1" t="s">
        <v>3</v>
      </c>
      <c r="E38" s="1">
        <v>18</v>
      </c>
      <c r="F38" s="2">
        <v>2.46</v>
      </c>
      <c r="G38" s="1">
        <f t="shared" si="0"/>
        <v>4.7126035462413149</v>
      </c>
      <c r="I38" s="2"/>
    </row>
    <row r="39" spans="1:9" x14ac:dyDescent="0.3">
      <c r="A39" s="1">
        <v>2010</v>
      </c>
      <c r="B39" s="2">
        <v>2.4689999999999999</v>
      </c>
      <c r="C39" s="1" t="s">
        <v>4</v>
      </c>
      <c r="E39" s="1">
        <v>19</v>
      </c>
      <c r="F39" s="2">
        <v>2.46</v>
      </c>
      <c r="G39" s="1">
        <f t="shared" si="0"/>
        <v>4.7126035462413149</v>
      </c>
      <c r="I39" s="2"/>
    </row>
    <row r="40" spans="1:9" x14ac:dyDescent="0.3">
      <c r="A40" s="1">
        <v>2006</v>
      </c>
      <c r="B40" s="2">
        <v>2.4700000000000002</v>
      </c>
      <c r="C40" s="1" t="s">
        <v>3</v>
      </c>
      <c r="E40" s="1">
        <v>20</v>
      </c>
      <c r="F40" s="2">
        <v>2.4609999999999999</v>
      </c>
      <c r="G40" s="1">
        <f t="shared" si="0"/>
        <v>4.9818581592124644</v>
      </c>
      <c r="I40" s="2"/>
    </row>
    <row r="41" spans="1:9" x14ac:dyDescent="0.3">
      <c r="A41" s="1">
        <v>1991</v>
      </c>
      <c r="B41" s="2">
        <v>2.4710000000000001</v>
      </c>
      <c r="C41" s="1" t="s">
        <v>4</v>
      </c>
      <c r="E41" s="1">
        <v>21</v>
      </c>
      <c r="F41" s="2">
        <v>2.4620000000000002</v>
      </c>
      <c r="G41" s="1">
        <f t="shared" si="0"/>
        <v>5.2592304823880296</v>
      </c>
      <c r="I41" s="2"/>
    </row>
    <row r="42" spans="1:9" x14ac:dyDescent="0.3">
      <c r="A42" s="1">
        <v>2014</v>
      </c>
      <c r="B42" s="2">
        <v>2.4710000000000001</v>
      </c>
      <c r="C42" s="1" t="s">
        <v>3</v>
      </c>
      <c r="E42" s="1">
        <v>22</v>
      </c>
      <c r="F42" s="2">
        <v>2.4620000000000002</v>
      </c>
      <c r="G42" s="1">
        <f t="shared" si="0"/>
        <v>5.2592304823880296</v>
      </c>
      <c r="I42" s="2"/>
    </row>
    <row r="43" spans="1:9" x14ac:dyDescent="0.3">
      <c r="A43" s="1">
        <v>1990</v>
      </c>
      <c r="B43" s="2">
        <v>2.472</v>
      </c>
      <c r="C43" s="1" t="s">
        <v>3</v>
      </c>
      <c r="E43" s="1">
        <v>23</v>
      </c>
      <c r="F43" s="2">
        <v>2.4620000000000002</v>
      </c>
      <c r="G43" s="1">
        <f t="shared" si="0"/>
        <v>5.2592304823880296</v>
      </c>
      <c r="I43" s="2"/>
    </row>
    <row r="44" spans="1:9" x14ac:dyDescent="0.3">
      <c r="A44" s="1">
        <v>1991</v>
      </c>
      <c r="B44" s="2">
        <v>2.4729999999999999</v>
      </c>
      <c r="C44" s="1" t="s">
        <v>4</v>
      </c>
      <c r="E44" s="1">
        <v>24</v>
      </c>
      <c r="F44" s="2">
        <v>2.4620000000000002</v>
      </c>
      <c r="G44" s="1">
        <f t="shared" si="0"/>
        <v>5.2592304823880296</v>
      </c>
      <c r="I44" s="2"/>
    </row>
    <row r="45" spans="1:9" x14ac:dyDescent="0.3">
      <c r="A45" s="1">
        <v>1996</v>
      </c>
      <c r="B45" s="2">
        <v>2.4729999999999999</v>
      </c>
      <c r="C45" s="1" t="s">
        <v>4</v>
      </c>
      <c r="E45" s="1">
        <v>25</v>
      </c>
      <c r="F45" s="2">
        <v>2.4620000000000002</v>
      </c>
      <c r="G45" s="1">
        <f t="shared" si="0"/>
        <v>5.2592304823880296</v>
      </c>
      <c r="I45" s="2"/>
    </row>
    <row r="46" spans="1:9" x14ac:dyDescent="0.3">
      <c r="A46" s="1">
        <v>1991</v>
      </c>
      <c r="B46" s="2">
        <v>2.4740000000000002</v>
      </c>
      <c r="C46" s="1" t="s">
        <v>4</v>
      </c>
      <c r="E46" s="1">
        <v>26</v>
      </c>
      <c r="F46" s="2">
        <v>2.4620000000000002</v>
      </c>
      <c r="G46" s="1">
        <f t="shared" si="0"/>
        <v>5.2592304823880296</v>
      </c>
      <c r="I46" s="2"/>
    </row>
    <row r="47" spans="1:9" x14ac:dyDescent="0.3">
      <c r="A47" s="1">
        <v>2017</v>
      </c>
      <c r="B47" s="2">
        <v>2.4740000000000002</v>
      </c>
      <c r="C47" s="1" t="s">
        <v>4</v>
      </c>
      <c r="E47" s="1">
        <v>27</v>
      </c>
      <c r="F47" s="2">
        <v>2.4630000000000001</v>
      </c>
      <c r="G47" s="1">
        <f t="shared" si="0"/>
        <v>5.5443857967865311</v>
      </c>
      <c r="I47" s="2"/>
    </row>
    <row r="48" spans="1:9" x14ac:dyDescent="0.3">
      <c r="A48" s="1">
        <v>1995</v>
      </c>
      <c r="B48" s="2">
        <v>2.4750000000000001</v>
      </c>
      <c r="C48" s="1" t="s">
        <v>3</v>
      </c>
      <c r="E48" s="1">
        <v>28</v>
      </c>
      <c r="F48" s="2">
        <v>2.464</v>
      </c>
      <c r="G48" s="1">
        <f t="shared" si="0"/>
        <v>5.836937910325001</v>
      </c>
      <c r="I48" s="2"/>
    </row>
    <row r="49" spans="1:9" x14ac:dyDescent="0.3">
      <c r="A49" s="1">
        <v>2017</v>
      </c>
      <c r="B49" s="2">
        <v>2.4750000000000001</v>
      </c>
      <c r="C49" s="1" t="s">
        <v>4</v>
      </c>
      <c r="E49" s="1">
        <v>29</v>
      </c>
      <c r="F49" s="2">
        <v>2.4660000000000002</v>
      </c>
      <c r="G49" s="1">
        <f t="shared" si="0"/>
        <v>6.4424271268256348</v>
      </c>
      <c r="I49" s="2"/>
    </row>
    <row r="50" spans="1:9" x14ac:dyDescent="0.3">
      <c r="A50" s="1">
        <v>2010</v>
      </c>
      <c r="B50" s="2">
        <v>2.476</v>
      </c>
      <c r="C50" s="1" t="s">
        <v>3</v>
      </c>
      <c r="E50" s="1">
        <v>30</v>
      </c>
      <c r="F50" s="2">
        <v>2.4660000000000002</v>
      </c>
      <c r="G50" s="1">
        <f t="shared" si="0"/>
        <v>6.4424271268256348</v>
      </c>
      <c r="I50" s="2"/>
    </row>
    <row r="51" spans="1:9" x14ac:dyDescent="0.3">
      <c r="A51" s="1">
        <v>2014</v>
      </c>
      <c r="B51" s="2">
        <v>2.476</v>
      </c>
      <c r="C51" s="1" t="s">
        <v>4</v>
      </c>
      <c r="E51" s="1">
        <v>31</v>
      </c>
      <c r="F51" s="2">
        <v>2.4660000000000002</v>
      </c>
      <c r="G51" s="1">
        <f t="shared" si="0"/>
        <v>6.4424271268256348</v>
      </c>
      <c r="I51" s="2"/>
    </row>
    <row r="52" spans="1:9" x14ac:dyDescent="0.3">
      <c r="A52" s="1">
        <v>1991</v>
      </c>
      <c r="B52" s="2">
        <v>2.4769999999999999</v>
      </c>
      <c r="C52" s="1" t="s">
        <v>3</v>
      </c>
      <c r="E52" s="1">
        <v>32</v>
      </c>
      <c r="F52" s="2">
        <v>2.4670000000000001</v>
      </c>
      <c r="G52" s="1">
        <f t="shared" si="0"/>
        <v>6.754330766176956</v>
      </c>
      <c r="I52" s="2"/>
    </row>
    <row r="53" spans="1:9" x14ac:dyDescent="0.3">
      <c r="A53" s="1">
        <v>1997</v>
      </c>
      <c r="B53" s="2">
        <v>2.4769999999999999</v>
      </c>
      <c r="C53" s="1" t="s">
        <v>4</v>
      </c>
      <c r="E53" s="1">
        <v>33</v>
      </c>
      <c r="F53" s="2">
        <v>2.4670000000000001</v>
      </c>
      <c r="G53" s="1">
        <f t="shared" si="0"/>
        <v>6.754330766176956</v>
      </c>
      <c r="I53" s="2"/>
    </row>
    <row r="54" spans="1:9" x14ac:dyDescent="0.3">
      <c r="A54" s="1">
        <v>2006</v>
      </c>
      <c r="B54" s="2">
        <v>2.4769999999999999</v>
      </c>
      <c r="C54" s="1" t="s">
        <v>3</v>
      </c>
      <c r="E54" s="1">
        <v>34</v>
      </c>
      <c r="F54" s="2">
        <v>2.4689999999999999</v>
      </c>
      <c r="G54" s="1">
        <f t="shared" si="0"/>
        <v>7.3934837562594886</v>
      </c>
      <c r="I54" s="2"/>
    </row>
    <row r="55" spans="1:9" x14ac:dyDescent="0.3">
      <c r="A55" s="1">
        <v>2017</v>
      </c>
      <c r="B55" s="2">
        <v>2.4769999999999999</v>
      </c>
      <c r="C55" s="1" t="s">
        <v>3</v>
      </c>
      <c r="E55" s="1">
        <v>35</v>
      </c>
      <c r="F55" s="2">
        <v>2.4689999999999999</v>
      </c>
      <c r="G55" s="1">
        <f t="shared" si="0"/>
        <v>7.3934837562594886</v>
      </c>
      <c r="I55" s="2"/>
    </row>
    <row r="56" spans="1:9" x14ac:dyDescent="0.3">
      <c r="A56" s="1">
        <v>1983</v>
      </c>
      <c r="B56" s="2">
        <v>2.4780000000000002</v>
      </c>
      <c r="C56" s="1" t="s">
        <v>3</v>
      </c>
      <c r="E56" s="1">
        <v>36</v>
      </c>
      <c r="F56" s="2">
        <v>2.4689999999999999</v>
      </c>
      <c r="G56" s="1">
        <f t="shared" si="0"/>
        <v>7.3934837562594886</v>
      </c>
      <c r="I56" s="2"/>
    </row>
    <row r="57" spans="1:9" x14ac:dyDescent="0.3">
      <c r="A57" s="1">
        <v>2015</v>
      </c>
      <c r="B57" s="2">
        <v>2.4780000000000002</v>
      </c>
      <c r="C57" s="1" t="s">
        <v>3</v>
      </c>
      <c r="E57" s="1">
        <v>37</v>
      </c>
      <c r="F57" s="2">
        <v>2.4689999999999999</v>
      </c>
      <c r="G57" s="1">
        <f t="shared" si="0"/>
        <v>7.3934837562594886</v>
      </c>
      <c r="I57" s="2"/>
    </row>
    <row r="58" spans="1:9" x14ac:dyDescent="0.3">
      <c r="A58" s="1">
        <v>1988</v>
      </c>
      <c r="B58" s="2">
        <v>2.4790000000000001</v>
      </c>
      <c r="C58" s="1" t="s">
        <v>3</v>
      </c>
      <c r="E58" s="1">
        <v>38</v>
      </c>
      <c r="F58" s="2">
        <v>2.4700000000000002</v>
      </c>
      <c r="G58" s="1">
        <f t="shared" si="0"/>
        <v>7.7193922857851929</v>
      </c>
      <c r="I58" s="2"/>
    </row>
    <row r="59" spans="1:9" x14ac:dyDescent="0.3">
      <c r="A59" s="1">
        <v>1996</v>
      </c>
      <c r="B59" s="2">
        <v>2.4790000000000001</v>
      </c>
      <c r="C59" s="1" t="s">
        <v>3</v>
      </c>
      <c r="E59" s="1">
        <v>39</v>
      </c>
      <c r="F59" s="2">
        <v>2.4710000000000001</v>
      </c>
      <c r="G59" s="1">
        <f t="shared" si="0"/>
        <v>8.0485471568216429</v>
      </c>
      <c r="I59" s="2"/>
    </row>
    <row r="60" spans="1:9" x14ac:dyDescent="0.3">
      <c r="A60" s="1">
        <v>1992</v>
      </c>
      <c r="B60" s="2">
        <v>2.48</v>
      </c>
      <c r="C60" s="1" t="s">
        <v>3</v>
      </c>
      <c r="E60" s="1">
        <v>40</v>
      </c>
      <c r="F60" s="2">
        <v>2.4710000000000001</v>
      </c>
      <c r="G60" s="1">
        <f t="shared" si="0"/>
        <v>8.0485471568216429</v>
      </c>
      <c r="I60" s="2"/>
    </row>
    <row r="61" spans="1:9" x14ac:dyDescent="0.3">
      <c r="A61" s="1">
        <v>2012</v>
      </c>
      <c r="B61" s="2">
        <v>2.48</v>
      </c>
      <c r="C61" s="1" t="s">
        <v>4</v>
      </c>
      <c r="E61" s="1">
        <v>41</v>
      </c>
      <c r="F61" s="2">
        <v>2.472</v>
      </c>
      <c r="G61" s="1">
        <f t="shared" si="0"/>
        <v>8.3801591632816326</v>
      </c>
      <c r="I61" s="2"/>
    </row>
    <row r="62" spans="1:9" x14ac:dyDescent="0.3">
      <c r="A62" s="1">
        <v>1991</v>
      </c>
      <c r="B62" s="2">
        <v>2.4809999999999999</v>
      </c>
      <c r="C62" s="1" t="s">
        <v>3</v>
      </c>
      <c r="E62" s="1">
        <v>42</v>
      </c>
      <c r="F62" s="2">
        <v>2.4729999999999999</v>
      </c>
      <c r="G62" s="1">
        <f t="shared" si="0"/>
        <v>8.7133956460990838</v>
      </c>
      <c r="I62" s="2"/>
    </row>
    <row r="63" spans="1:9" x14ac:dyDescent="0.3">
      <c r="A63" s="1">
        <v>1995</v>
      </c>
      <c r="B63" s="2">
        <v>2.4809999999999999</v>
      </c>
      <c r="C63" s="1" t="s">
        <v>3</v>
      </c>
      <c r="E63" s="1">
        <v>43</v>
      </c>
      <c r="F63" s="2">
        <v>2.4729999999999999</v>
      </c>
      <c r="G63" s="1">
        <f t="shared" si="0"/>
        <v>8.7133956460990838</v>
      </c>
      <c r="I63" s="2"/>
    </row>
    <row r="64" spans="1:9" x14ac:dyDescent="0.3">
      <c r="A64" s="1">
        <v>1996</v>
      </c>
      <c r="B64" s="2">
        <v>2.4809999999999999</v>
      </c>
      <c r="C64" s="1" t="s">
        <v>4</v>
      </c>
      <c r="E64" s="1">
        <v>44</v>
      </c>
      <c r="F64" s="2">
        <v>2.4740000000000002</v>
      </c>
      <c r="G64" s="1">
        <f t="shared" si="0"/>
        <v>9.0473833913688004</v>
      </c>
      <c r="I64" s="2"/>
    </row>
    <row r="65" spans="1:9" x14ac:dyDescent="0.3">
      <c r="A65" s="1">
        <v>2005</v>
      </c>
      <c r="B65" s="2">
        <v>2.4809999999999999</v>
      </c>
      <c r="C65" s="1" t="s">
        <v>4</v>
      </c>
      <c r="E65" s="1">
        <v>45</v>
      </c>
      <c r="F65" s="2">
        <v>2.4740000000000002</v>
      </c>
      <c r="G65" s="1">
        <f t="shared" si="0"/>
        <v>9.0473833913688004</v>
      </c>
      <c r="I65" s="2"/>
    </row>
    <row r="66" spans="1:9" x14ac:dyDescent="0.3">
      <c r="A66" s="1">
        <v>2015</v>
      </c>
      <c r="B66" s="2">
        <v>2.4809999999999999</v>
      </c>
      <c r="C66" s="1" t="s">
        <v>3</v>
      </c>
      <c r="E66" s="1">
        <v>46</v>
      </c>
      <c r="F66" s="2">
        <v>2.4750000000000001</v>
      </c>
      <c r="G66" s="1">
        <f t="shared" si="0"/>
        <v>9.3812119309661846</v>
      </c>
      <c r="I66" s="2"/>
    </row>
    <row r="67" spans="1:9" x14ac:dyDescent="0.3">
      <c r="A67" s="1">
        <v>1983</v>
      </c>
      <c r="B67" s="2">
        <v>2.4820000000000002</v>
      </c>
      <c r="C67" s="1" t="s">
        <v>3</v>
      </c>
      <c r="E67" s="1">
        <v>47</v>
      </c>
      <c r="F67" s="2">
        <v>2.4750000000000001</v>
      </c>
      <c r="G67" s="1">
        <f t="shared" si="0"/>
        <v>9.3812119309661846</v>
      </c>
      <c r="I67" s="2"/>
    </row>
    <row r="68" spans="1:9" x14ac:dyDescent="0.3">
      <c r="A68" s="1">
        <v>1983</v>
      </c>
      <c r="B68" s="2">
        <v>2.4830000000000001</v>
      </c>
      <c r="C68" s="1" t="s">
        <v>3</v>
      </c>
      <c r="E68" s="1">
        <v>48</v>
      </c>
      <c r="F68" s="2">
        <v>2.476</v>
      </c>
      <c r="G68" s="1">
        <f t="shared" si="0"/>
        <v>9.7139372338026533</v>
      </c>
      <c r="I68" s="2"/>
    </row>
    <row r="69" spans="1:9" x14ac:dyDescent="0.3">
      <c r="A69" s="1">
        <v>2000</v>
      </c>
      <c r="B69" s="2">
        <v>2.4830000000000001</v>
      </c>
      <c r="C69" s="1" t="s">
        <v>4</v>
      </c>
      <c r="E69" s="1">
        <v>49</v>
      </c>
      <c r="F69" s="2">
        <v>2.476</v>
      </c>
      <c r="G69" s="1">
        <f t="shared" si="0"/>
        <v>9.7139372338026533</v>
      </c>
      <c r="I69" s="2"/>
    </row>
    <row r="70" spans="1:9" x14ac:dyDescent="0.3">
      <c r="A70" s="1">
        <v>2004</v>
      </c>
      <c r="B70" s="2">
        <v>2.4830000000000001</v>
      </c>
      <c r="C70" s="1" t="s">
        <v>4</v>
      </c>
      <c r="E70" s="1">
        <v>50</v>
      </c>
      <c r="F70" s="2">
        <v>2.4769999999999999</v>
      </c>
      <c r="G70" s="1">
        <f t="shared" si="0"/>
        <v>10.044585771563126</v>
      </c>
      <c r="I70" s="2"/>
    </row>
    <row r="71" spans="1:9" x14ac:dyDescent="0.3">
      <c r="A71" s="1">
        <v>2008</v>
      </c>
      <c r="B71" s="2">
        <v>2.4830000000000001</v>
      </c>
      <c r="C71" s="1" t="s">
        <v>3</v>
      </c>
      <c r="E71" s="1">
        <v>51</v>
      </c>
      <c r="F71" s="2">
        <v>2.4769999999999999</v>
      </c>
      <c r="G71" s="1">
        <f t="shared" si="0"/>
        <v>10.044585771563126</v>
      </c>
      <c r="I71" s="2"/>
    </row>
    <row r="72" spans="1:9" x14ac:dyDescent="0.3">
      <c r="A72" s="1">
        <v>1985</v>
      </c>
      <c r="B72" s="2">
        <v>2.484</v>
      </c>
      <c r="C72" s="1" t="s">
        <v>3</v>
      </c>
      <c r="E72" s="1">
        <v>52</v>
      </c>
      <c r="F72" s="2">
        <v>2.4769999999999999</v>
      </c>
      <c r="G72" s="1">
        <f t="shared" si="0"/>
        <v>10.044585771563126</v>
      </c>
      <c r="I72" s="2"/>
    </row>
    <row r="73" spans="1:9" x14ac:dyDescent="0.3">
      <c r="A73" s="1">
        <v>1990</v>
      </c>
      <c r="B73" s="2">
        <v>2.484</v>
      </c>
      <c r="C73" s="1" t="s">
        <v>3</v>
      </c>
      <c r="E73" s="1">
        <v>53</v>
      </c>
      <c r="F73" s="2">
        <v>2.4769999999999999</v>
      </c>
      <c r="G73" s="1">
        <f t="shared" si="0"/>
        <v>10.044585771563126</v>
      </c>
      <c r="I73" s="2"/>
    </row>
    <row r="74" spans="1:9" x14ac:dyDescent="0.3">
      <c r="A74" s="1">
        <v>2001</v>
      </c>
      <c r="B74" s="2">
        <v>2.484</v>
      </c>
      <c r="C74" s="1" t="s">
        <v>3</v>
      </c>
      <c r="E74" s="1">
        <v>54</v>
      </c>
      <c r="F74" s="2">
        <v>2.4780000000000002</v>
      </c>
      <c r="G74" s="1">
        <f t="shared" si="0"/>
        <v>10.372158938489832</v>
      </c>
      <c r="I74" s="2"/>
    </row>
    <row r="75" spans="1:9" x14ac:dyDescent="0.3">
      <c r="A75" s="1">
        <v>2002</v>
      </c>
      <c r="B75" s="2">
        <v>2.484</v>
      </c>
      <c r="C75" s="1" t="s">
        <v>3</v>
      </c>
      <c r="E75" s="1">
        <v>55</v>
      </c>
      <c r="F75" s="2">
        <v>2.4780000000000002</v>
      </c>
      <c r="G75" s="1">
        <f t="shared" si="0"/>
        <v>10.372158938489832</v>
      </c>
      <c r="I75" s="2"/>
    </row>
    <row r="76" spans="1:9" x14ac:dyDescent="0.3">
      <c r="A76" s="1">
        <v>2011</v>
      </c>
      <c r="B76" s="2">
        <v>2.484</v>
      </c>
      <c r="C76" s="1" t="s">
        <v>3</v>
      </c>
      <c r="E76" s="1">
        <v>56</v>
      </c>
      <c r="F76" s="2">
        <v>2.4790000000000001</v>
      </c>
      <c r="G76" s="1">
        <f t="shared" si="0"/>
        <v>10.695637800556511</v>
      </c>
      <c r="I76" s="2"/>
    </row>
    <row r="77" spans="1:9" x14ac:dyDescent="0.3">
      <c r="A77" s="1">
        <v>2015</v>
      </c>
      <c r="B77" s="2">
        <v>2.484</v>
      </c>
      <c r="C77" s="1" t="s">
        <v>3</v>
      </c>
      <c r="E77" s="1">
        <v>57</v>
      </c>
      <c r="F77" s="2">
        <v>2.4790000000000001</v>
      </c>
      <c r="G77" s="1">
        <f t="shared" si="0"/>
        <v>10.695637800556511</v>
      </c>
      <c r="I77" s="2"/>
    </row>
    <row r="78" spans="1:9" x14ac:dyDescent="0.3">
      <c r="A78" s="1">
        <v>2016</v>
      </c>
      <c r="B78" s="2">
        <v>2.484</v>
      </c>
      <c r="C78" s="1" t="s">
        <v>4</v>
      </c>
      <c r="E78" s="1">
        <v>58</v>
      </c>
      <c r="F78" s="2">
        <v>2.48</v>
      </c>
      <c r="G78" s="1">
        <f t="shared" si="0"/>
        <v>11.01398814529229</v>
      </c>
      <c r="I78" s="2"/>
    </row>
    <row r="79" spans="1:9" x14ac:dyDescent="0.3">
      <c r="A79" s="1">
        <v>1989</v>
      </c>
      <c r="B79" s="2">
        <v>2.4849999999999999</v>
      </c>
      <c r="C79" s="1" t="s">
        <v>4</v>
      </c>
      <c r="E79" s="1">
        <v>59</v>
      </c>
      <c r="F79" s="2">
        <v>2.48</v>
      </c>
      <c r="G79" s="1">
        <f t="shared" si="0"/>
        <v>11.01398814529229</v>
      </c>
      <c r="I79" s="2"/>
    </row>
    <row r="80" spans="1:9" x14ac:dyDescent="0.3">
      <c r="A80" s="1">
        <v>1999</v>
      </c>
      <c r="B80" s="2">
        <v>2.4849999999999999</v>
      </c>
      <c r="C80" s="1" t="s">
        <v>3</v>
      </c>
      <c r="E80" s="1">
        <v>60</v>
      </c>
      <c r="F80" s="2">
        <v>2.4809999999999999</v>
      </c>
      <c r="G80" s="1">
        <f t="shared" si="0"/>
        <v>11.326165799603602</v>
      </c>
      <c r="I80" s="2"/>
    </row>
    <row r="81" spans="1:9" x14ac:dyDescent="0.3">
      <c r="A81" s="1">
        <v>1999</v>
      </c>
      <c r="B81" s="2">
        <v>2.4849999999999999</v>
      </c>
      <c r="C81" s="1" t="s">
        <v>3</v>
      </c>
      <c r="E81" s="1">
        <v>61</v>
      </c>
      <c r="F81" s="2">
        <v>2.4809999999999999</v>
      </c>
      <c r="G81" s="1">
        <f t="shared" si="0"/>
        <v>11.326165799603602</v>
      </c>
      <c r="I81" s="2"/>
    </row>
    <row r="82" spans="1:9" x14ac:dyDescent="0.3">
      <c r="A82" s="1">
        <v>2012</v>
      </c>
      <c r="B82" s="2">
        <v>2.4849999999999999</v>
      </c>
      <c r="C82" s="1" t="s">
        <v>3</v>
      </c>
      <c r="E82" s="1">
        <v>62</v>
      </c>
      <c r="F82" s="2">
        <v>2.4809999999999999</v>
      </c>
      <c r="G82" s="1">
        <f t="shared" si="0"/>
        <v>11.326165799603602</v>
      </c>
      <c r="I82" s="2"/>
    </row>
    <row r="83" spans="1:9" x14ac:dyDescent="0.3">
      <c r="A83" s="1">
        <v>1987</v>
      </c>
      <c r="B83" s="2">
        <v>2.4860000000000002</v>
      </c>
      <c r="C83" s="1" t="s">
        <v>4</v>
      </c>
      <c r="E83" s="1">
        <v>63</v>
      </c>
      <c r="F83" s="2">
        <v>2.4809999999999999</v>
      </c>
      <c r="G83" s="1">
        <f t="shared" si="0"/>
        <v>11.326165799603602</v>
      </c>
      <c r="I83" s="2"/>
    </row>
    <row r="84" spans="1:9" x14ac:dyDescent="0.3">
      <c r="A84" s="1">
        <v>1990</v>
      </c>
      <c r="B84" s="2">
        <v>2.4860000000000002</v>
      </c>
      <c r="C84" s="1" t="s">
        <v>3</v>
      </c>
      <c r="E84" s="1">
        <v>64</v>
      </c>
      <c r="F84" s="2">
        <v>2.4809999999999999</v>
      </c>
      <c r="G84" s="1">
        <f t="shared" si="0"/>
        <v>11.326165799603602</v>
      </c>
      <c r="I84" s="2"/>
    </row>
    <row r="85" spans="1:9" x14ac:dyDescent="0.3">
      <c r="A85" s="1">
        <v>2002</v>
      </c>
      <c r="B85" s="2">
        <v>2.4860000000000002</v>
      </c>
      <c r="C85" s="1" t="s">
        <v>4</v>
      </c>
      <c r="E85" s="1">
        <v>65</v>
      </c>
      <c r="F85" s="2">
        <v>2.4820000000000002</v>
      </c>
      <c r="G85" s="1">
        <f t="shared" ref="G85:G148" si="1">_xlfn.NORM.DIST(F85,$F$2,$F$3,FALSE)</f>
        <v>11.631122179280389</v>
      </c>
      <c r="I85" s="2"/>
    </row>
    <row r="86" spans="1:9" x14ac:dyDescent="0.3">
      <c r="A86" s="1">
        <v>2003</v>
      </c>
      <c r="B86" s="2">
        <v>2.4860000000000002</v>
      </c>
      <c r="C86" s="1" t="s">
        <v>4</v>
      </c>
      <c r="E86" s="1">
        <v>66</v>
      </c>
      <c r="F86" s="2">
        <v>2.4830000000000001</v>
      </c>
      <c r="G86" s="1">
        <f t="shared" si="1"/>
        <v>11.927810030494012</v>
      </c>
      <c r="I86" s="2"/>
    </row>
    <row r="87" spans="1:9" x14ac:dyDescent="0.3">
      <c r="A87" s="1">
        <v>2011</v>
      </c>
      <c r="B87" s="2">
        <v>2.4860000000000002</v>
      </c>
      <c r="C87" s="1" t="s">
        <v>4</v>
      </c>
      <c r="E87" s="1">
        <v>67</v>
      </c>
      <c r="F87" s="2">
        <v>2.4830000000000001</v>
      </c>
      <c r="G87" s="1">
        <f t="shared" si="1"/>
        <v>11.927810030494012</v>
      </c>
      <c r="I87" s="2"/>
    </row>
    <row r="88" spans="1:9" x14ac:dyDescent="0.3">
      <c r="A88" s="1">
        <v>2011</v>
      </c>
      <c r="B88" s="2">
        <v>2.4860000000000002</v>
      </c>
      <c r="C88" s="1" t="s">
        <v>4</v>
      </c>
      <c r="E88" s="1">
        <v>68</v>
      </c>
      <c r="F88" s="2">
        <v>2.4830000000000001</v>
      </c>
      <c r="G88" s="1">
        <f t="shared" si="1"/>
        <v>11.927810030494012</v>
      </c>
      <c r="I88" s="2"/>
    </row>
    <row r="89" spans="1:9" x14ac:dyDescent="0.3">
      <c r="A89" s="1">
        <v>1988</v>
      </c>
      <c r="B89" s="2">
        <v>2.4870000000000001</v>
      </c>
      <c r="C89" s="1" t="s">
        <v>4</v>
      </c>
      <c r="E89" s="1">
        <v>69</v>
      </c>
      <c r="F89" s="2">
        <v>2.4830000000000001</v>
      </c>
      <c r="G89" s="1">
        <f t="shared" si="1"/>
        <v>11.927810030494012</v>
      </c>
      <c r="I89" s="2"/>
    </row>
    <row r="90" spans="1:9" x14ac:dyDescent="0.3">
      <c r="A90" s="1">
        <v>1988</v>
      </c>
      <c r="B90" s="2">
        <v>2.488</v>
      </c>
      <c r="C90" s="1" t="s">
        <v>3</v>
      </c>
      <c r="E90" s="1">
        <v>70</v>
      </c>
      <c r="F90" s="2">
        <v>2.484</v>
      </c>
      <c r="G90" s="1">
        <f t="shared" si="1"/>
        <v>12.215189320566733</v>
      </c>
      <c r="I90" s="2"/>
    </row>
    <row r="91" spans="1:9" x14ac:dyDescent="0.3">
      <c r="A91" s="1">
        <v>1996</v>
      </c>
      <c r="B91" s="2">
        <v>2.488</v>
      </c>
      <c r="C91" s="1" t="s">
        <v>4</v>
      </c>
      <c r="E91" s="1">
        <v>71</v>
      </c>
      <c r="F91" s="2">
        <v>2.484</v>
      </c>
      <c r="G91" s="1">
        <f t="shared" si="1"/>
        <v>12.215189320566733</v>
      </c>
      <c r="I91" s="2"/>
    </row>
    <row r="92" spans="1:9" x14ac:dyDescent="0.3">
      <c r="A92" s="1">
        <v>1997</v>
      </c>
      <c r="B92" s="2">
        <v>2.488</v>
      </c>
      <c r="C92" s="1" t="s">
        <v>4</v>
      </c>
      <c r="E92" s="1">
        <v>72</v>
      </c>
      <c r="F92" s="2">
        <v>2.484</v>
      </c>
      <c r="G92" s="1">
        <f t="shared" si="1"/>
        <v>12.215189320566733</v>
      </c>
      <c r="I92" s="2"/>
    </row>
    <row r="93" spans="1:9" x14ac:dyDescent="0.3">
      <c r="A93" s="1">
        <v>2003</v>
      </c>
      <c r="B93" s="2">
        <v>2.488</v>
      </c>
      <c r="C93" s="1" t="s">
        <v>3</v>
      </c>
      <c r="E93" s="1">
        <v>73</v>
      </c>
      <c r="F93" s="2">
        <v>2.484</v>
      </c>
      <c r="G93" s="1">
        <f t="shared" si="1"/>
        <v>12.215189320566733</v>
      </c>
      <c r="I93" s="2"/>
    </row>
    <row r="94" spans="1:9" x14ac:dyDescent="0.3">
      <c r="A94" s="1">
        <v>2008</v>
      </c>
      <c r="B94" s="2">
        <v>2.488</v>
      </c>
      <c r="C94" s="1" t="s">
        <v>4</v>
      </c>
      <c r="E94" s="1">
        <v>74</v>
      </c>
      <c r="F94" s="2">
        <v>2.484</v>
      </c>
      <c r="G94" s="1">
        <f t="shared" si="1"/>
        <v>12.215189320566733</v>
      </c>
      <c r="I94" s="2"/>
    </row>
    <row r="95" spans="1:9" x14ac:dyDescent="0.3">
      <c r="A95" s="1">
        <v>2017</v>
      </c>
      <c r="B95" s="2">
        <v>2.488</v>
      </c>
      <c r="C95" s="1" t="s">
        <v>3</v>
      </c>
      <c r="E95" s="1">
        <v>75</v>
      </c>
      <c r="F95" s="2">
        <v>2.484</v>
      </c>
      <c r="G95" s="1">
        <f t="shared" si="1"/>
        <v>12.215189320566733</v>
      </c>
      <c r="I95" s="2"/>
    </row>
    <row r="96" spans="1:9" x14ac:dyDescent="0.3">
      <c r="A96" s="1">
        <v>1988</v>
      </c>
      <c r="B96" s="2">
        <v>2.4889999999999999</v>
      </c>
      <c r="C96" s="1" t="s">
        <v>3</v>
      </c>
      <c r="E96" s="1">
        <v>76</v>
      </c>
      <c r="F96" s="2">
        <v>2.484</v>
      </c>
      <c r="G96" s="1">
        <f t="shared" si="1"/>
        <v>12.215189320566733</v>
      </c>
      <c r="I96" s="2"/>
    </row>
    <row r="97" spans="1:9" x14ac:dyDescent="0.3">
      <c r="A97" s="1">
        <v>2000</v>
      </c>
      <c r="B97" s="2">
        <v>2.4889999999999999</v>
      </c>
      <c r="C97" s="1" t="s">
        <v>4</v>
      </c>
      <c r="E97" s="1">
        <v>77</v>
      </c>
      <c r="F97" s="2">
        <v>2.4849999999999999</v>
      </c>
      <c r="G97" s="1">
        <f t="shared" si="1"/>
        <v>12.49223323264825</v>
      </c>
      <c r="I97" s="2"/>
    </row>
    <row r="98" spans="1:9" x14ac:dyDescent="0.3">
      <c r="A98" s="1">
        <v>2004</v>
      </c>
      <c r="B98" s="2">
        <v>2.4889999999999999</v>
      </c>
      <c r="C98" s="1" t="s">
        <v>3</v>
      </c>
      <c r="E98" s="1">
        <v>78</v>
      </c>
      <c r="F98" s="2">
        <v>2.4849999999999999</v>
      </c>
      <c r="G98" s="1">
        <f t="shared" si="1"/>
        <v>12.49223323264825</v>
      </c>
      <c r="I98" s="2"/>
    </row>
    <row r="99" spans="1:9" x14ac:dyDescent="0.3">
      <c r="A99" s="1">
        <v>1993</v>
      </c>
      <c r="B99" s="2">
        <v>2.4900000000000002</v>
      </c>
      <c r="C99" s="1" t="s">
        <v>4</v>
      </c>
      <c r="E99" s="1">
        <v>79</v>
      </c>
      <c r="F99" s="2">
        <v>2.4849999999999999</v>
      </c>
      <c r="G99" s="1">
        <f t="shared" si="1"/>
        <v>12.49223323264825</v>
      </c>
      <c r="I99" s="2"/>
    </row>
    <row r="100" spans="1:9" x14ac:dyDescent="0.3">
      <c r="A100" s="1">
        <v>1993</v>
      </c>
      <c r="B100" s="2">
        <v>2.4900000000000002</v>
      </c>
      <c r="C100" s="1" t="s">
        <v>4</v>
      </c>
      <c r="E100" s="1">
        <v>80</v>
      </c>
      <c r="F100" s="2">
        <v>2.4849999999999999</v>
      </c>
      <c r="G100" s="1">
        <f t="shared" si="1"/>
        <v>12.49223323264825</v>
      </c>
      <c r="I100" s="2"/>
    </row>
    <row r="101" spans="1:9" x14ac:dyDescent="0.3">
      <c r="A101" s="1">
        <v>2003</v>
      </c>
      <c r="B101" s="2">
        <v>2.4900000000000002</v>
      </c>
      <c r="C101" s="1" t="s">
        <v>4</v>
      </c>
      <c r="E101" s="1">
        <v>81</v>
      </c>
      <c r="F101" s="2">
        <v>2.4860000000000002</v>
      </c>
      <c r="G101" s="1">
        <f t="shared" si="1"/>
        <v>12.757934216735745</v>
      </c>
      <c r="I101" s="2"/>
    </row>
    <row r="102" spans="1:9" x14ac:dyDescent="0.3">
      <c r="A102" s="1">
        <v>2009</v>
      </c>
      <c r="B102" s="2">
        <v>2.4900000000000002</v>
      </c>
      <c r="C102" s="1" t="s">
        <v>3</v>
      </c>
      <c r="E102" s="1">
        <v>82</v>
      </c>
      <c r="F102" s="2">
        <v>2.4860000000000002</v>
      </c>
      <c r="G102" s="1">
        <f t="shared" si="1"/>
        <v>12.757934216735745</v>
      </c>
      <c r="I102" s="2"/>
    </row>
    <row r="103" spans="1:9" x14ac:dyDescent="0.3">
      <c r="A103" s="1">
        <v>2017</v>
      </c>
      <c r="B103" s="2">
        <v>2.4900000000000002</v>
      </c>
      <c r="C103" s="1" t="s">
        <v>4</v>
      </c>
      <c r="E103" s="1">
        <v>83</v>
      </c>
      <c r="F103" s="2">
        <v>2.4860000000000002</v>
      </c>
      <c r="G103" s="1">
        <f t="shared" si="1"/>
        <v>12.757934216735745</v>
      </c>
      <c r="I103" s="2"/>
    </row>
    <row r="104" spans="1:9" x14ac:dyDescent="0.3">
      <c r="A104" s="1">
        <v>1989</v>
      </c>
      <c r="B104" s="2">
        <v>2.4910000000000001</v>
      </c>
      <c r="C104" s="1" t="s">
        <v>4</v>
      </c>
      <c r="E104" s="1">
        <v>84</v>
      </c>
      <c r="F104" s="2">
        <v>2.4860000000000002</v>
      </c>
      <c r="G104" s="1">
        <f t="shared" si="1"/>
        <v>12.757934216735745</v>
      </c>
      <c r="I104" s="2"/>
    </row>
    <row r="105" spans="1:9" x14ac:dyDescent="0.3">
      <c r="A105" s="1">
        <v>1984</v>
      </c>
      <c r="B105" s="2">
        <v>2.492</v>
      </c>
      <c r="C105" s="1" t="s">
        <v>4</v>
      </c>
      <c r="E105" s="1">
        <v>85</v>
      </c>
      <c r="F105" s="2">
        <v>2.4860000000000002</v>
      </c>
      <c r="G105" s="1">
        <f t="shared" si="1"/>
        <v>12.757934216735745</v>
      </c>
      <c r="I105" s="2"/>
    </row>
    <row r="106" spans="1:9" x14ac:dyDescent="0.3">
      <c r="A106" s="1">
        <v>1991</v>
      </c>
      <c r="B106" s="2">
        <v>2.492</v>
      </c>
      <c r="C106" s="1" t="s">
        <v>4</v>
      </c>
      <c r="E106" s="1">
        <v>86</v>
      </c>
      <c r="F106" s="2">
        <v>2.4860000000000002</v>
      </c>
      <c r="G106" s="1">
        <f t="shared" si="1"/>
        <v>12.757934216735745</v>
      </c>
      <c r="I106" s="2"/>
    </row>
    <row r="107" spans="1:9" x14ac:dyDescent="0.3">
      <c r="A107" s="1">
        <v>2004</v>
      </c>
      <c r="B107" s="2">
        <v>2.492</v>
      </c>
      <c r="C107" s="1" t="s">
        <v>4</v>
      </c>
      <c r="E107" s="1">
        <v>87</v>
      </c>
      <c r="F107" s="2">
        <v>2.4870000000000001</v>
      </c>
      <c r="G107" s="1">
        <f t="shared" si="1"/>
        <v>13.011310047741354</v>
      </c>
      <c r="I107" s="2"/>
    </row>
    <row r="108" spans="1:9" x14ac:dyDescent="0.3">
      <c r="A108" s="1">
        <v>2007</v>
      </c>
      <c r="B108" s="2">
        <v>2.492</v>
      </c>
      <c r="C108" s="1" t="s">
        <v>4</v>
      </c>
      <c r="E108" s="1">
        <v>88</v>
      </c>
      <c r="F108" s="2">
        <v>2.488</v>
      </c>
      <c r="G108" s="1">
        <f t="shared" si="1"/>
        <v>13.251409840093594</v>
      </c>
      <c r="I108" s="2"/>
    </row>
    <row r="109" spans="1:9" x14ac:dyDescent="0.3">
      <c r="A109" s="1">
        <v>1994</v>
      </c>
      <c r="B109" s="2">
        <v>2.4929999999999999</v>
      </c>
      <c r="C109" s="1" t="s">
        <v>4</v>
      </c>
      <c r="E109" s="1">
        <v>89</v>
      </c>
      <c r="F109" s="2">
        <v>2.488</v>
      </c>
      <c r="G109" s="1">
        <f t="shared" si="1"/>
        <v>13.251409840093594</v>
      </c>
      <c r="I109" s="2"/>
    </row>
    <row r="110" spans="1:9" x14ac:dyDescent="0.3">
      <c r="A110" s="1">
        <v>2002</v>
      </c>
      <c r="B110" s="2">
        <v>2.4929999999999999</v>
      </c>
      <c r="C110" s="1" t="s">
        <v>4</v>
      </c>
      <c r="E110" s="1">
        <v>90</v>
      </c>
      <c r="F110" s="2">
        <v>2.488</v>
      </c>
      <c r="G110" s="1">
        <f t="shared" si="1"/>
        <v>13.251409840093594</v>
      </c>
      <c r="I110" s="2"/>
    </row>
    <row r="111" spans="1:9" x14ac:dyDescent="0.3">
      <c r="A111" s="1">
        <v>2009</v>
      </c>
      <c r="B111" s="2">
        <v>2.4929999999999999</v>
      </c>
      <c r="C111" s="1" t="s">
        <v>3</v>
      </c>
      <c r="E111" s="1">
        <v>91</v>
      </c>
      <c r="F111" s="2">
        <v>2.488</v>
      </c>
      <c r="G111" s="1">
        <f t="shared" si="1"/>
        <v>13.251409840093594</v>
      </c>
      <c r="I111" s="2"/>
    </row>
    <row r="112" spans="1:9" x14ac:dyDescent="0.3">
      <c r="A112" s="1">
        <v>2010</v>
      </c>
      <c r="B112" s="2">
        <v>2.4929999999999999</v>
      </c>
      <c r="C112" s="1" t="s">
        <v>4</v>
      </c>
      <c r="E112" s="1">
        <v>92</v>
      </c>
      <c r="F112" s="2">
        <v>2.488</v>
      </c>
      <c r="G112" s="1">
        <f t="shared" si="1"/>
        <v>13.251409840093594</v>
      </c>
      <c r="I112" s="2"/>
    </row>
    <row r="113" spans="1:9" x14ac:dyDescent="0.3">
      <c r="A113" s="1">
        <v>2013</v>
      </c>
      <c r="B113" s="2">
        <v>2.4929999999999999</v>
      </c>
      <c r="C113" s="1" t="s">
        <v>3</v>
      </c>
      <c r="E113" s="1">
        <v>93</v>
      </c>
      <c r="F113" s="2">
        <v>2.488</v>
      </c>
      <c r="G113" s="1">
        <f t="shared" si="1"/>
        <v>13.251409840093594</v>
      </c>
      <c r="I113" s="2"/>
    </row>
    <row r="114" spans="1:9" x14ac:dyDescent="0.3">
      <c r="A114" s="1">
        <v>2013</v>
      </c>
      <c r="B114" s="2">
        <v>2.4929999999999999</v>
      </c>
      <c r="C114" s="1" t="s">
        <v>3</v>
      </c>
      <c r="E114" s="1">
        <v>94</v>
      </c>
      <c r="F114" s="2">
        <v>2.4889999999999999</v>
      </c>
      <c r="G114" s="1">
        <f t="shared" si="1"/>
        <v>13.477319967669905</v>
      </c>
      <c r="I114" s="2"/>
    </row>
    <row r="115" spans="1:9" x14ac:dyDescent="0.3">
      <c r="A115" s="1">
        <v>1985</v>
      </c>
      <c r="B115" s="2">
        <v>2.4940000000000002</v>
      </c>
      <c r="C115" s="1" t="s">
        <v>3</v>
      </c>
      <c r="E115" s="1">
        <v>95</v>
      </c>
      <c r="F115" s="2">
        <v>2.4889999999999999</v>
      </c>
      <c r="G115" s="1">
        <f t="shared" si="1"/>
        <v>13.477319967669905</v>
      </c>
      <c r="I115" s="2"/>
    </row>
    <row r="116" spans="1:9" x14ac:dyDescent="0.3">
      <c r="A116" s="1">
        <v>1993</v>
      </c>
      <c r="B116" s="2">
        <v>2.4940000000000002</v>
      </c>
      <c r="C116" s="1" t="s">
        <v>4</v>
      </c>
      <c r="E116" s="1">
        <v>96</v>
      </c>
      <c r="F116" s="2">
        <v>2.4889999999999999</v>
      </c>
      <c r="G116" s="1">
        <f t="shared" si="1"/>
        <v>13.477319967669905</v>
      </c>
      <c r="I116" s="2"/>
    </row>
    <row r="117" spans="1:9" x14ac:dyDescent="0.3">
      <c r="A117" s="1">
        <v>1994</v>
      </c>
      <c r="B117" s="2">
        <v>2.4940000000000002</v>
      </c>
      <c r="C117" s="1" t="s">
        <v>3</v>
      </c>
      <c r="E117" s="1">
        <v>97</v>
      </c>
      <c r="F117" s="2">
        <v>2.4900000000000002</v>
      </c>
      <c r="G117" s="1">
        <f t="shared" si="1"/>
        <v>13.688169837732314</v>
      </c>
      <c r="I117" s="2"/>
    </row>
    <row r="118" spans="1:9" x14ac:dyDescent="0.3">
      <c r="A118" s="1">
        <v>1998</v>
      </c>
      <c r="B118" s="2">
        <v>2.4940000000000002</v>
      </c>
      <c r="C118" s="1" t="s">
        <v>3</v>
      </c>
      <c r="E118" s="1">
        <v>98</v>
      </c>
      <c r="F118" s="2">
        <v>2.4900000000000002</v>
      </c>
      <c r="G118" s="1">
        <f t="shared" si="1"/>
        <v>13.688169837732314</v>
      </c>
      <c r="I118" s="2"/>
    </row>
    <row r="119" spans="1:9" x14ac:dyDescent="0.3">
      <c r="A119" s="1">
        <v>2017</v>
      </c>
      <c r="B119" s="2">
        <v>2.4940000000000002</v>
      </c>
      <c r="C119" s="1" t="s">
        <v>3</v>
      </c>
      <c r="E119" s="1">
        <v>99</v>
      </c>
      <c r="F119" s="2">
        <v>2.4900000000000002</v>
      </c>
      <c r="G119" s="1">
        <f t="shared" si="1"/>
        <v>13.688169837732314</v>
      </c>
      <c r="I119" s="2"/>
    </row>
    <row r="120" spans="1:9" x14ac:dyDescent="0.3">
      <c r="A120" s="1">
        <v>1993</v>
      </c>
      <c r="B120" s="2">
        <v>2.4950000000000001</v>
      </c>
      <c r="C120" s="1" t="s">
        <v>4</v>
      </c>
      <c r="E120" s="1">
        <v>100</v>
      </c>
      <c r="F120" s="2">
        <v>2.4900000000000002</v>
      </c>
      <c r="G120" s="1">
        <f t="shared" si="1"/>
        <v>13.688169837732314</v>
      </c>
      <c r="I120" s="2"/>
    </row>
    <row r="121" spans="1:9" x14ac:dyDescent="0.3">
      <c r="A121" s="1">
        <v>2002</v>
      </c>
      <c r="B121" s="2">
        <v>2.4950000000000001</v>
      </c>
      <c r="C121" s="1" t="s">
        <v>4</v>
      </c>
      <c r="E121" s="1">
        <v>101</v>
      </c>
      <c r="F121" s="2">
        <v>2.4900000000000002</v>
      </c>
      <c r="G121" s="1">
        <f t="shared" si="1"/>
        <v>13.688169837732314</v>
      </c>
      <c r="I121" s="2"/>
    </row>
    <row r="122" spans="1:9" x14ac:dyDescent="0.3">
      <c r="A122" s="1">
        <v>2008</v>
      </c>
      <c r="B122" s="2">
        <v>2.4950000000000001</v>
      </c>
      <c r="C122" s="1" t="s">
        <v>4</v>
      </c>
      <c r="E122" s="1">
        <v>102</v>
      </c>
      <c r="F122" s="2">
        <v>2.4910000000000001</v>
      </c>
      <c r="G122" s="1">
        <f t="shared" si="1"/>
        <v>13.883137467974553</v>
      </c>
      <c r="I122" s="2"/>
    </row>
    <row r="123" spans="1:9" x14ac:dyDescent="0.3">
      <c r="A123" s="1">
        <v>1995</v>
      </c>
      <c r="B123" s="2">
        <v>2.496</v>
      </c>
      <c r="C123" s="1" t="s">
        <v>4</v>
      </c>
      <c r="E123" s="1">
        <v>103</v>
      </c>
      <c r="F123" s="2">
        <v>2.492</v>
      </c>
      <c r="G123" s="1">
        <f t="shared" si="1"/>
        <v>14.061454816805574</v>
      </c>
      <c r="I123" s="2"/>
    </row>
    <row r="124" spans="1:9" x14ac:dyDescent="0.3">
      <c r="A124" s="1">
        <v>1983</v>
      </c>
      <c r="B124" s="2">
        <v>2.4969999999999999</v>
      </c>
      <c r="C124" s="1" t="s">
        <v>3</v>
      </c>
      <c r="E124" s="1">
        <v>104</v>
      </c>
      <c r="F124" s="2">
        <v>2.492</v>
      </c>
      <c r="G124" s="1">
        <f t="shared" si="1"/>
        <v>14.061454816805574</v>
      </c>
      <c r="I124" s="2"/>
    </row>
    <row r="125" spans="1:9" x14ac:dyDescent="0.3">
      <c r="A125" s="1">
        <v>1987</v>
      </c>
      <c r="B125" s="2">
        <v>2.4969999999999999</v>
      </c>
      <c r="C125" s="1" t="s">
        <v>3</v>
      </c>
      <c r="E125" s="1">
        <v>105</v>
      </c>
      <c r="F125" s="2">
        <v>2.492</v>
      </c>
      <c r="G125" s="1">
        <f t="shared" si="1"/>
        <v>14.061454816805574</v>
      </c>
      <c r="I125" s="2"/>
    </row>
    <row r="126" spans="1:9" x14ac:dyDescent="0.3">
      <c r="A126" s="1">
        <v>1990</v>
      </c>
      <c r="B126" s="2">
        <v>2.4969999999999999</v>
      </c>
      <c r="C126" s="1" t="s">
        <v>4</v>
      </c>
      <c r="E126" s="1">
        <v>106</v>
      </c>
      <c r="F126" s="2">
        <v>2.492</v>
      </c>
      <c r="G126" s="1">
        <f t="shared" si="1"/>
        <v>14.061454816805574</v>
      </c>
      <c r="I126" s="2"/>
    </row>
    <row r="127" spans="1:9" x14ac:dyDescent="0.3">
      <c r="A127" s="1">
        <v>1997</v>
      </c>
      <c r="B127" s="2">
        <v>2.4969999999999999</v>
      </c>
      <c r="C127" s="1" t="s">
        <v>3</v>
      </c>
      <c r="E127" s="1">
        <v>107</v>
      </c>
      <c r="F127" s="2">
        <v>2.4929999999999999</v>
      </c>
      <c r="G127" s="1">
        <f t="shared" si="1"/>
        <v>14.222412818576439</v>
      </c>
      <c r="I127" s="2"/>
    </row>
    <row r="128" spans="1:9" x14ac:dyDescent="0.3">
      <c r="A128" s="1">
        <v>2001</v>
      </c>
      <c r="B128" s="2">
        <v>2.4969999999999999</v>
      </c>
      <c r="C128" s="1" t="s">
        <v>3</v>
      </c>
      <c r="E128" s="1">
        <v>108</v>
      </c>
      <c r="F128" s="2">
        <v>2.4929999999999999</v>
      </c>
      <c r="G128" s="1">
        <f t="shared" si="1"/>
        <v>14.222412818576439</v>
      </c>
      <c r="I128" s="2"/>
    </row>
    <row r="129" spans="1:9" x14ac:dyDescent="0.3">
      <c r="A129" s="1">
        <v>2007</v>
      </c>
      <c r="B129" s="2">
        <v>2.4969999999999999</v>
      </c>
      <c r="C129" s="1" t="s">
        <v>3</v>
      </c>
      <c r="E129" s="1">
        <v>109</v>
      </c>
      <c r="F129" s="2">
        <v>2.4929999999999999</v>
      </c>
      <c r="G129" s="1">
        <f t="shared" si="1"/>
        <v>14.222412818576439</v>
      </c>
      <c r="I129" s="2"/>
    </row>
    <row r="130" spans="1:9" x14ac:dyDescent="0.3">
      <c r="A130" s="1">
        <v>2008</v>
      </c>
      <c r="B130" s="2">
        <v>2.4969999999999999</v>
      </c>
      <c r="C130" s="1" t="s">
        <v>4</v>
      </c>
      <c r="E130" s="1">
        <v>110</v>
      </c>
      <c r="F130" s="2">
        <v>2.4929999999999999</v>
      </c>
      <c r="G130" s="1">
        <f t="shared" si="1"/>
        <v>14.222412818576439</v>
      </c>
      <c r="I130" s="2"/>
    </row>
    <row r="131" spans="1:9" x14ac:dyDescent="0.3">
      <c r="A131" s="1">
        <v>1996</v>
      </c>
      <c r="B131" s="2">
        <v>2.4980000000000002</v>
      </c>
      <c r="C131" s="1" t="s">
        <v>3</v>
      </c>
      <c r="E131" s="1">
        <v>111</v>
      </c>
      <c r="F131" s="2">
        <v>2.4929999999999999</v>
      </c>
      <c r="G131" s="1">
        <f t="shared" si="1"/>
        <v>14.222412818576439</v>
      </c>
      <c r="I131" s="2"/>
    </row>
    <row r="132" spans="1:9" x14ac:dyDescent="0.3">
      <c r="A132" s="1">
        <v>1998</v>
      </c>
      <c r="B132" s="2">
        <v>2.4980000000000002</v>
      </c>
      <c r="C132" s="1" t="s">
        <v>4</v>
      </c>
      <c r="E132" s="1">
        <v>112</v>
      </c>
      <c r="F132" s="2">
        <v>2.4929999999999999</v>
      </c>
      <c r="G132" s="1">
        <f t="shared" si="1"/>
        <v>14.222412818576439</v>
      </c>
      <c r="I132" s="2"/>
    </row>
    <row r="133" spans="1:9" x14ac:dyDescent="0.3">
      <c r="A133" s="1">
        <v>2010</v>
      </c>
      <c r="B133" s="2">
        <v>2.4980000000000002</v>
      </c>
      <c r="C133" s="1" t="s">
        <v>3</v>
      </c>
      <c r="E133" s="1">
        <v>113</v>
      </c>
      <c r="F133" s="2">
        <v>2.4940000000000002</v>
      </c>
      <c r="G133" s="1">
        <f t="shared" si="1"/>
        <v>14.365366077607812</v>
      </c>
      <c r="I133" s="2"/>
    </row>
    <row r="134" spans="1:9" x14ac:dyDescent="0.3">
      <c r="A134" s="1">
        <v>2010</v>
      </c>
      <c r="B134" s="2">
        <v>2.4980000000000002</v>
      </c>
      <c r="C134" s="1" t="s">
        <v>3</v>
      </c>
      <c r="E134" s="1">
        <v>114</v>
      </c>
      <c r="F134" s="2">
        <v>2.4940000000000002</v>
      </c>
      <c r="G134" s="1">
        <f t="shared" si="1"/>
        <v>14.365366077607812</v>
      </c>
      <c r="I134" s="2"/>
    </row>
    <row r="135" spans="1:9" x14ac:dyDescent="0.3">
      <c r="A135" s="1">
        <v>1983</v>
      </c>
      <c r="B135" s="2">
        <v>2.4990000000000001</v>
      </c>
      <c r="C135" s="1" t="s">
        <v>3</v>
      </c>
      <c r="E135" s="1">
        <v>115</v>
      </c>
      <c r="F135" s="2">
        <v>2.4940000000000002</v>
      </c>
      <c r="G135" s="1">
        <f t="shared" si="1"/>
        <v>14.365366077607812</v>
      </c>
      <c r="I135" s="2"/>
    </row>
    <row r="136" spans="1:9" x14ac:dyDescent="0.3">
      <c r="A136" s="1">
        <v>1990</v>
      </c>
      <c r="B136" s="2">
        <v>2.4990000000000001</v>
      </c>
      <c r="C136" s="1" t="s">
        <v>4</v>
      </c>
      <c r="E136" s="1">
        <v>116</v>
      </c>
      <c r="F136" s="2">
        <v>2.4940000000000002</v>
      </c>
      <c r="G136" s="1">
        <f t="shared" si="1"/>
        <v>14.365366077607812</v>
      </c>
      <c r="I136" s="2"/>
    </row>
    <row r="137" spans="1:9" x14ac:dyDescent="0.3">
      <c r="A137" s="1">
        <v>1998</v>
      </c>
      <c r="B137" s="2">
        <v>2.5</v>
      </c>
      <c r="C137" s="1" t="s">
        <v>3</v>
      </c>
      <c r="E137" s="1">
        <v>117</v>
      </c>
      <c r="F137" s="2">
        <v>2.4940000000000002</v>
      </c>
      <c r="G137" s="1">
        <f t="shared" si="1"/>
        <v>14.365366077607812</v>
      </c>
      <c r="I137" s="2"/>
    </row>
    <row r="138" spans="1:9" x14ac:dyDescent="0.3">
      <c r="A138" s="1">
        <v>2010</v>
      </c>
      <c r="B138" s="2">
        <v>2.5</v>
      </c>
      <c r="C138" s="1" t="s">
        <v>3</v>
      </c>
      <c r="E138" s="1">
        <v>118</v>
      </c>
      <c r="F138" s="2">
        <v>2.4950000000000001</v>
      </c>
      <c r="G138" s="1">
        <f t="shared" si="1"/>
        <v>14.489737177562366</v>
      </c>
      <c r="I138" s="2"/>
    </row>
    <row r="139" spans="1:9" x14ac:dyDescent="0.3">
      <c r="A139" s="1">
        <v>1993</v>
      </c>
      <c r="B139" s="2">
        <v>2.5009999999999999</v>
      </c>
      <c r="C139" s="1" t="s">
        <v>4</v>
      </c>
      <c r="E139" s="1">
        <v>119</v>
      </c>
      <c r="F139" s="2">
        <v>2.4950000000000001</v>
      </c>
      <c r="G139" s="1">
        <f t="shared" si="1"/>
        <v>14.489737177562366</v>
      </c>
      <c r="I139" s="2"/>
    </row>
    <row r="140" spans="1:9" x14ac:dyDescent="0.3">
      <c r="A140" s="1">
        <v>2015</v>
      </c>
      <c r="B140" s="2">
        <v>2.5009999999999999</v>
      </c>
      <c r="C140" s="1" t="s">
        <v>3</v>
      </c>
      <c r="E140" s="1">
        <v>120</v>
      </c>
      <c r="F140" s="2">
        <v>2.4950000000000001</v>
      </c>
      <c r="G140" s="1">
        <f t="shared" si="1"/>
        <v>14.489737177562366</v>
      </c>
      <c r="I140" s="2"/>
    </row>
    <row r="141" spans="1:9" x14ac:dyDescent="0.3">
      <c r="A141" s="1">
        <v>1990</v>
      </c>
      <c r="B141" s="2">
        <v>2.5019999999999998</v>
      </c>
      <c r="C141" s="1" t="s">
        <v>3</v>
      </c>
      <c r="E141" s="1">
        <v>121</v>
      </c>
      <c r="F141" s="2">
        <v>2.496</v>
      </c>
      <c r="G141" s="1">
        <f t="shared" si="1"/>
        <v>14.595020565914718</v>
      </c>
      <c r="I141" s="2"/>
    </row>
    <row r="142" spans="1:9" x14ac:dyDescent="0.3">
      <c r="A142" s="1">
        <v>2002</v>
      </c>
      <c r="B142" s="2">
        <v>2.5019999999999998</v>
      </c>
      <c r="C142" s="1" t="s">
        <v>4</v>
      </c>
      <c r="E142" s="1">
        <v>122</v>
      </c>
      <c r="F142" s="2">
        <v>2.4969999999999999</v>
      </c>
      <c r="G142" s="1">
        <f t="shared" si="1"/>
        <v>14.680785976958223</v>
      </c>
      <c r="I142" s="2"/>
    </row>
    <row r="143" spans="1:9" x14ac:dyDescent="0.3">
      <c r="A143" s="1">
        <v>2005</v>
      </c>
      <c r="B143" s="2">
        <v>2.5019999999999998</v>
      </c>
      <c r="C143" s="1" t="s">
        <v>4</v>
      </c>
      <c r="E143" s="1">
        <v>123</v>
      </c>
      <c r="F143" s="2">
        <v>2.4969999999999999</v>
      </c>
      <c r="G143" s="1">
        <f t="shared" si="1"/>
        <v>14.680785976958223</v>
      </c>
      <c r="I143" s="2"/>
    </row>
    <row r="144" spans="1:9" x14ac:dyDescent="0.3">
      <c r="A144" s="1">
        <v>2015</v>
      </c>
      <c r="B144" s="2">
        <v>2.5019999999999998</v>
      </c>
      <c r="C144" s="1" t="s">
        <v>3</v>
      </c>
      <c r="E144" s="1">
        <v>124</v>
      </c>
      <c r="F144" s="2">
        <v>2.4969999999999999</v>
      </c>
      <c r="G144" s="1">
        <f t="shared" si="1"/>
        <v>14.680785976958223</v>
      </c>
      <c r="I144" s="2"/>
    </row>
    <row r="145" spans="1:9" x14ac:dyDescent="0.3">
      <c r="A145" s="1">
        <v>2017</v>
      </c>
      <c r="B145" s="2">
        <v>2.5019999999999998</v>
      </c>
      <c r="C145" s="1" t="s">
        <v>4</v>
      </c>
      <c r="E145" s="1">
        <v>125</v>
      </c>
      <c r="F145" s="2">
        <v>2.4969999999999999</v>
      </c>
      <c r="G145" s="1">
        <f t="shared" si="1"/>
        <v>14.680785976958223</v>
      </c>
      <c r="I145" s="2"/>
    </row>
    <row r="146" spans="1:9" x14ac:dyDescent="0.3">
      <c r="A146" s="1">
        <v>1984</v>
      </c>
      <c r="B146" s="2">
        <v>2.5030000000000001</v>
      </c>
      <c r="C146" s="1" t="s">
        <v>3</v>
      </c>
      <c r="E146" s="1">
        <v>126</v>
      </c>
      <c r="F146" s="2">
        <v>2.4969999999999999</v>
      </c>
      <c r="G146" s="1">
        <f t="shared" si="1"/>
        <v>14.680785976958223</v>
      </c>
      <c r="I146" s="2"/>
    </row>
    <row r="147" spans="1:9" x14ac:dyDescent="0.3">
      <c r="A147" s="1">
        <v>1987</v>
      </c>
      <c r="B147" s="2">
        <v>2.5030000000000001</v>
      </c>
      <c r="C147" s="1" t="s">
        <v>3</v>
      </c>
      <c r="E147" s="1">
        <v>127</v>
      </c>
      <c r="F147" s="2">
        <v>2.4969999999999999</v>
      </c>
      <c r="G147" s="1">
        <f t="shared" si="1"/>
        <v>14.680785976958223</v>
      </c>
      <c r="I147" s="2"/>
    </row>
    <row r="148" spans="1:9" x14ac:dyDescent="0.3">
      <c r="A148" s="1">
        <v>1989</v>
      </c>
      <c r="B148" s="2">
        <v>2.5030000000000001</v>
      </c>
      <c r="C148" s="1" t="s">
        <v>3</v>
      </c>
      <c r="E148" s="1">
        <v>128</v>
      </c>
      <c r="F148" s="2">
        <v>2.4969999999999999</v>
      </c>
      <c r="G148" s="1">
        <f t="shared" si="1"/>
        <v>14.680785976958223</v>
      </c>
      <c r="I148" s="2"/>
    </row>
    <row r="149" spans="1:9" x14ac:dyDescent="0.3">
      <c r="A149" s="1">
        <v>1991</v>
      </c>
      <c r="B149" s="2">
        <v>2.5030000000000001</v>
      </c>
      <c r="C149" s="1" t="s">
        <v>4</v>
      </c>
      <c r="E149" s="1">
        <v>129</v>
      </c>
      <c r="F149" s="2">
        <v>2.4980000000000002</v>
      </c>
      <c r="G149" s="1">
        <f t="shared" ref="G149:G212" si="2">_xlfn.NORM.DIST(F149,$F$2,$F$3,FALSE)</f>
        <v>14.746681360921569</v>
      </c>
      <c r="I149" s="2"/>
    </row>
    <row r="150" spans="1:9" x14ac:dyDescent="0.3">
      <c r="A150" s="1">
        <v>1993</v>
      </c>
      <c r="B150" s="2">
        <v>2.5030000000000001</v>
      </c>
      <c r="C150" s="1" t="s">
        <v>3</v>
      </c>
      <c r="E150" s="1">
        <v>130</v>
      </c>
      <c r="F150" s="2">
        <v>2.4980000000000002</v>
      </c>
      <c r="G150" s="1">
        <f t="shared" si="2"/>
        <v>14.746681360921569</v>
      </c>
      <c r="I150" s="2"/>
    </row>
    <row r="151" spans="1:9" x14ac:dyDescent="0.3">
      <c r="A151" s="1">
        <v>2010</v>
      </c>
      <c r="B151" s="2">
        <v>2.5030000000000001</v>
      </c>
      <c r="C151" s="1" t="s">
        <v>4</v>
      </c>
      <c r="E151" s="1">
        <v>131</v>
      </c>
      <c r="F151" s="2">
        <v>2.4980000000000002</v>
      </c>
      <c r="G151" s="1">
        <f t="shared" si="2"/>
        <v>14.746681360921569</v>
      </c>
      <c r="I151" s="2"/>
    </row>
    <row r="152" spans="1:9" x14ac:dyDescent="0.3">
      <c r="A152" s="1">
        <v>2012</v>
      </c>
      <c r="B152" s="2">
        <v>2.5030000000000001</v>
      </c>
      <c r="C152" s="1" t="s">
        <v>3</v>
      </c>
      <c r="E152" s="1">
        <v>132</v>
      </c>
      <c r="F152" s="2">
        <v>2.4980000000000002</v>
      </c>
      <c r="G152" s="1">
        <f t="shared" si="2"/>
        <v>14.746681360921569</v>
      </c>
      <c r="I152" s="2"/>
    </row>
    <row r="153" spans="1:9" x14ac:dyDescent="0.3">
      <c r="A153" s="1">
        <v>1984</v>
      </c>
      <c r="B153" s="2">
        <v>2.504</v>
      </c>
      <c r="C153" s="1" t="s">
        <v>4</v>
      </c>
      <c r="E153" s="1">
        <v>133</v>
      </c>
      <c r="F153" s="2">
        <v>2.4990000000000001</v>
      </c>
      <c r="G153" s="1">
        <f t="shared" si="2"/>
        <v>14.792435291292277</v>
      </c>
      <c r="I153" s="2"/>
    </row>
    <row r="154" spans="1:9" x14ac:dyDescent="0.3">
      <c r="A154" s="1">
        <v>1991</v>
      </c>
      <c r="B154" s="2">
        <v>2.504</v>
      </c>
      <c r="C154" s="1" t="s">
        <v>4</v>
      </c>
      <c r="E154" s="1">
        <v>134</v>
      </c>
      <c r="F154" s="2">
        <v>2.4990000000000001</v>
      </c>
      <c r="G154" s="1">
        <f t="shared" si="2"/>
        <v>14.792435291292277</v>
      </c>
      <c r="I154" s="2"/>
    </row>
    <row r="155" spans="1:9" x14ac:dyDescent="0.3">
      <c r="A155" s="1">
        <v>1997</v>
      </c>
      <c r="B155" s="2">
        <v>2.504</v>
      </c>
      <c r="C155" s="1" t="s">
        <v>4</v>
      </c>
      <c r="E155" s="1">
        <v>135</v>
      </c>
      <c r="F155" s="2">
        <v>2.5</v>
      </c>
      <c r="G155" s="1">
        <f t="shared" si="2"/>
        <v>14.817858827313012</v>
      </c>
      <c r="I155" s="2"/>
    </row>
    <row r="156" spans="1:9" x14ac:dyDescent="0.3">
      <c r="A156" s="1">
        <v>2003</v>
      </c>
      <c r="B156" s="2">
        <v>2.504</v>
      </c>
      <c r="C156" s="1" t="s">
        <v>4</v>
      </c>
      <c r="E156" s="1">
        <v>136</v>
      </c>
      <c r="F156" s="2">
        <v>2.5</v>
      </c>
      <c r="G156" s="1">
        <f t="shared" si="2"/>
        <v>14.817858827313012</v>
      </c>
      <c r="I156" s="2"/>
    </row>
    <row r="157" spans="1:9" x14ac:dyDescent="0.3">
      <c r="A157" s="1">
        <v>2014</v>
      </c>
      <c r="B157" s="2">
        <v>2.504</v>
      </c>
      <c r="C157" s="1" t="s">
        <v>4</v>
      </c>
      <c r="E157" s="1">
        <v>137</v>
      </c>
      <c r="F157" s="2">
        <v>2.5009999999999999</v>
      </c>
      <c r="G157" s="1">
        <f t="shared" si="2"/>
        <v>14.822846813766084</v>
      </c>
      <c r="I157" s="2"/>
    </row>
    <row r="158" spans="1:9" x14ac:dyDescent="0.3">
      <c r="A158" s="1">
        <v>1997</v>
      </c>
      <c r="B158" s="2">
        <v>2.5049999999999999</v>
      </c>
      <c r="C158" s="1" t="s">
        <v>3</v>
      </c>
      <c r="E158" s="1">
        <v>138</v>
      </c>
      <c r="F158" s="2">
        <v>2.5009999999999999</v>
      </c>
      <c r="G158" s="1">
        <f t="shared" si="2"/>
        <v>14.822846813766084</v>
      </c>
      <c r="I158" s="2"/>
    </row>
    <row r="159" spans="1:9" x14ac:dyDescent="0.3">
      <c r="A159" s="1">
        <v>2005</v>
      </c>
      <c r="B159" s="2">
        <v>2.5049999999999999</v>
      </c>
      <c r="C159" s="1" t="s">
        <v>4</v>
      </c>
      <c r="E159" s="1">
        <v>139</v>
      </c>
      <c r="F159" s="2">
        <v>2.5019999999999998</v>
      </c>
      <c r="G159" s="1">
        <f t="shared" si="2"/>
        <v>14.80737860553409</v>
      </c>
      <c r="I159" s="2"/>
    </row>
    <row r="160" spans="1:9" x14ac:dyDescent="0.3">
      <c r="A160" s="1">
        <v>2005</v>
      </c>
      <c r="B160" s="2">
        <v>2.5049999999999999</v>
      </c>
      <c r="C160" s="1" t="s">
        <v>4</v>
      </c>
      <c r="E160" s="1">
        <v>140</v>
      </c>
      <c r="F160" s="2">
        <v>2.5019999999999998</v>
      </c>
      <c r="G160" s="1">
        <f t="shared" si="2"/>
        <v>14.80737860553409</v>
      </c>
      <c r="I160" s="2"/>
    </row>
    <row r="161" spans="1:9" x14ac:dyDescent="0.3">
      <c r="A161" s="1">
        <v>2012</v>
      </c>
      <c r="B161" s="2">
        <v>2.5049999999999999</v>
      </c>
      <c r="C161" s="1" t="s">
        <v>4</v>
      </c>
      <c r="E161" s="1">
        <v>141</v>
      </c>
      <c r="F161" s="2">
        <v>2.5019999999999998</v>
      </c>
      <c r="G161" s="1">
        <f t="shared" si="2"/>
        <v>14.80737860553409</v>
      </c>
      <c r="I161" s="2"/>
    </row>
    <row r="162" spans="1:9" x14ac:dyDescent="0.3">
      <c r="A162" s="1">
        <v>1998</v>
      </c>
      <c r="B162" s="2">
        <v>2.5059999999999998</v>
      </c>
      <c r="C162" s="1" t="s">
        <v>3</v>
      </c>
      <c r="E162" s="1">
        <v>142</v>
      </c>
      <c r="F162" s="2">
        <v>2.5019999999999998</v>
      </c>
      <c r="G162" s="1">
        <f t="shared" si="2"/>
        <v>14.80737860553409</v>
      </c>
      <c r="I162" s="2"/>
    </row>
    <row r="163" spans="1:9" x14ac:dyDescent="0.3">
      <c r="A163" s="1">
        <v>2011</v>
      </c>
      <c r="B163" s="2">
        <v>2.5070000000000001</v>
      </c>
      <c r="C163" s="1" t="s">
        <v>3</v>
      </c>
      <c r="E163" s="1">
        <v>143</v>
      </c>
      <c r="F163" s="2">
        <v>2.5019999999999998</v>
      </c>
      <c r="G163" s="1">
        <f t="shared" si="2"/>
        <v>14.80737860553409</v>
      </c>
      <c r="I163" s="2"/>
    </row>
    <row r="164" spans="1:9" x14ac:dyDescent="0.3">
      <c r="A164" s="1">
        <v>2013</v>
      </c>
      <c r="B164" s="2">
        <v>2.5070000000000001</v>
      </c>
      <c r="C164" s="1" t="s">
        <v>3</v>
      </c>
      <c r="E164" s="1">
        <v>144</v>
      </c>
      <c r="F164" s="2">
        <v>2.5030000000000001</v>
      </c>
      <c r="G164" s="1">
        <f t="shared" si="2"/>
        <v>14.771518209950225</v>
      </c>
      <c r="I164" s="2"/>
    </row>
    <row r="165" spans="1:9" x14ac:dyDescent="0.3">
      <c r="A165" s="1">
        <v>1983</v>
      </c>
      <c r="B165" s="2">
        <v>2.508</v>
      </c>
      <c r="C165" s="1" t="s">
        <v>3</v>
      </c>
      <c r="E165" s="1">
        <v>145</v>
      </c>
      <c r="F165" s="2">
        <v>2.5030000000000001</v>
      </c>
      <c r="G165" s="1">
        <f t="shared" si="2"/>
        <v>14.771518209950225</v>
      </c>
      <c r="I165" s="2"/>
    </row>
    <row r="166" spans="1:9" x14ac:dyDescent="0.3">
      <c r="A166" s="1">
        <v>2000</v>
      </c>
      <c r="B166" s="2">
        <v>2.508</v>
      </c>
      <c r="C166" s="1" t="s">
        <v>3</v>
      </c>
      <c r="E166" s="1">
        <v>146</v>
      </c>
      <c r="F166" s="2">
        <v>2.5030000000000001</v>
      </c>
      <c r="G166" s="1">
        <f t="shared" si="2"/>
        <v>14.771518209950225</v>
      </c>
      <c r="I166" s="2"/>
    </row>
    <row r="167" spans="1:9" x14ac:dyDescent="0.3">
      <c r="A167" s="1">
        <v>2001</v>
      </c>
      <c r="B167" s="2">
        <v>2.508</v>
      </c>
      <c r="C167" s="1" t="s">
        <v>4</v>
      </c>
      <c r="E167" s="1">
        <v>147</v>
      </c>
      <c r="F167" s="2">
        <v>2.5030000000000001</v>
      </c>
      <c r="G167" s="1">
        <f t="shared" si="2"/>
        <v>14.771518209950225</v>
      </c>
      <c r="I167" s="2"/>
    </row>
    <row r="168" spans="1:9" x14ac:dyDescent="0.3">
      <c r="A168" s="1">
        <v>2005</v>
      </c>
      <c r="B168" s="2">
        <v>2.508</v>
      </c>
      <c r="C168" s="1" t="s">
        <v>3</v>
      </c>
      <c r="E168" s="1">
        <v>148</v>
      </c>
      <c r="F168" s="2">
        <v>2.5030000000000001</v>
      </c>
      <c r="G168" s="1">
        <f t="shared" si="2"/>
        <v>14.771518209950225</v>
      </c>
      <c r="I168" s="2"/>
    </row>
    <row r="169" spans="1:9" x14ac:dyDescent="0.3">
      <c r="A169" s="1">
        <v>2010</v>
      </c>
      <c r="B169" s="2">
        <v>2.508</v>
      </c>
      <c r="C169" s="1" t="s">
        <v>3</v>
      </c>
      <c r="E169" s="1">
        <v>149</v>
      </c>
      <c r="F169" s="2">
        <v>2.5030000000000001</v>
      </c>
      <c r="G169" s="1">
        <f t="shared" si="2"/>
        <v>14.771518209950225</v>
      </c>
      <c r="I169" s="2"/>
    </row>
    <row r="170" spans="1:9" x14ac:dyDescent="0.3">
      <c r="A170" s="1">
        <v>2017</v>
      </c>
      <c r="B170" s="2">
        <v>2.508</v>
      </c>
      <c r="C170" s="1" t="s">
        <v>3</v>
      </c>
      <c r="E170" s="1">
        <v>150</v>
      </c>
      <c r="F170" s="2">
        <v>2.5030000000000001</v>
      </c>
      <c r="G170" s="1">
        <f t="shared" si="2"/>
        <v>14.771518209950225</v>
      </c>
      <c r="I170" s="2"/>
    </row>
    <row r="171" spans="1:9" x14ac:dyDescent="0.3">
      <c r="A171" s="1">
        <v>2004</v>
      </c>
      <c r="B171" s="2">
        <v>2.5089999999999999</v>
      </c>
      <c r="C171" s="1" t="s">
        <v>3</v>
      </c>
      <c r="E171" s="1">
        <v>151</v>
      </c>
      <c r="F171" s="2">
        <v>2.504</v>
      </c>
      <c r="G171" s="1">
        <f t="shared" si="2"/>
        <v>14.715413845564848</v>
      </c>
      <c r="I171" s="2"/>
    </row>
    <row r="172" spans="1:9" x14ac:dyDescent="0.3">
      <c r="A172" s="1">
        <v>2007</v>
      </c>
      <c r="B172" s="2">
        <v>2.5089999999999999</v>
      </c>
      <c r="C172" s="1" t="s">
        <v>3</v>
      </c>
      <c r="E172" s="1">
        <v>152</v>
      </c>
      <c r="F172" s="2">
        <v>2.504</v>
      </c>
      <c r="G172" s="1">
        <f t="shared" si="2"/>
        <v>14.715413845564848</v>
      </c>
      <c r="I172" s="2"/>
    </row>
    <row r="173" spans="1:9" x14ac:dyDescent="0.3">
      <c r="A173" s="1">
        <v>1983</v>
      </c>
      <c r="B173" s="2">
        <v>2.5099999999999998</v>
      </c>
      <c r="C173" s="1" t="s">
        <v>4</v>
      </c>
      <c r="E173" s="1">
        <v>153</v>
      </c>
      <c r="F173" s="2">
        <v>2.504</v>
      </c>
      <c r="G173" s="1">
        <f t="shared" si="2"/>
        <v>14.715413845564848</v>
      </c>
      <c r="I173" s="2"/>
    </row>
    <row r="174" spans="1:9" x14ac:dyDescent="0.3">
      <c r="A174" s="1">
        <v>2001</v>
      </c>
      <c r="B174" s="2">
        <v>2.5099999999999998</v>
      </c>
      <c r="C174" s="1" t="s">
        <v>3</v>
      </c>
      <c r="E174" s="1">
        <v>154</v>
      </c>
      <c r="F174" s="2">
        <v>2.504</v>
      </c>
      <c r="G174" s="1">
        <f t="shared" si="2"/>
        <v>14.715413845564848</v>
      </c>
      <c r="I174" s="2"/>
    </row>
    <row r="175" spans="1:9" x14ac:dyDescent="0.3">
      <c r="A175" s="1">
        <v>2014</v>
      </c>
      <c r="B175" s="2">
        <v>2.5099999999999998</v>
      </c>
      <c r="C175" s="1" t="s">
        <v>3</v>
      </c>
      <c r="E175" s="1">
        <v>155</v>
      </c>
      <c r="F175" s="2">
        <v>2.504</v>
      </c>
      <c r="G175" s="1">
        <f t="shared" si="2"/>
        <v>14.715413845564848</v>
      </c>
      <c r="I175" s="2"/>
    </row>
    <row r="176" spans="1:9" x14ac:dyDescent="0.3">
      <c r="A176" s="1">
        <v>2015</v>
      </c>
      <c r="B176" s="2">
        <v>2.5099999999999998</v>
      </c>
      <c r="C176" s="1" t="s">
        <v>3</v>
      </c>
      <c r="E176" s="1">
        <v>156</v>
      </c>
      <c r="F176" s="2">
        <v>2.5049999999999999</v>
      </c>
      <c r="G176" s="1">
        <f t="shared" si="2"/>
        <v>14.639296921584435</v>
      </c>
      <c r="I176" s="2"/>
    </row>
    <row r="177" spans="1:9" x14ac:dyDescent="0.3">
      <c r="A177" s="1">
        <v>1986</v>
      </c>
      <c r="B177" s="2">
        <v>2.5110000000000001</v>
      </c>
      <c r="C177" s="1" t="s">
        <v>4</v>
      </c>
      <c r="E177" s="1">
        <v>157</v>
      </c>
      <c r="F177" s="2">
        <v>2.5049999999999999</v>
      </c>
      <c r="G177" s="1">
        <f t="shared" si="2"/>
        <v>14.639296921584435</v>
      </c>
      <c r="I177" s="2"/>
    </row>
    <row r="178" spans="1:9" x14ac:dyDescent="0.3">
      <c r="A178" s="1">
        <v>1989</v>
      </c>
      <c r="B178" s="2">
        <v>2.5110000000000001</v>
      </c>
      <c r="C178" s="1" t="s">
        <v>4</v>
      </c>
      <c r="E178" s="1">
        <v>158</v>
      </c>
      <c r="F178" s="2">
        <v>2.5049999999999999</v>
      </c>
      <c r="G178" s="1">
        <f t="shared" si="2"/>
        <v>14.639296921584435</v>
      </c>
      <c r="I178" s="2"/>
    </row>
    <row r="179" spans="1:9" x14ac:dyDescent="0.3">
      <c r="A179" s="1">
        <v>2002</v>
      </c>
      <c r="B179" s="2">
        <v>2.5110000000000001</v>
      </c>
      <c r="C179" s="1" t="s">
        <v>4</v>
      </c>
      <c r="E179" s="1">
        <v>159</v>
      </c>
      <c r="F179" s="2">
        <v>2.5049999999999999</v>
      </c>
      <c r="G179" s="1">
        <f t="shared" si="2"/>
        <v>14.639296921584435</v>
      </c>
      <c r="I179" s="2"/>
    </row>
    <row r="180" spans="1:9" x14ac:dyDescent="0.3">
      <c r="A180" s="1">
        <v>2006</v>
      </c>
      <c r="B180" s="2">
        <v>2.5110000000000001</v>
      </c>
      <c r="C180" s="1" t="s">
        <v>3</v>
      </c>
      <c r="E180" s="1">
        <v>160</v>
      </c>
      <c r="F180" s="2">
        <v>2.5059999999999998</v>
      </c>
      <c r="G180" s="1">
        <f t="shared" si="2"/>
        <v>14.543480447816584</v>
      </c>
      <c r="I180" s="2"/>
    </row>
    <row r="181" spans="1:9" x14ac:dyDescent="0.3">
      <c r="A181" s="1">
        <v>2009</v>
      </c>
      <c r="B181" s="2">
        <v>2.5110000000000001</v>
      </c>
      <c r="C181" s="1" t="s">
        <v>3</v>
      </c>
      <c r="E181" s="1">
        <v>161</v>
      </c>
      <c r="F181" s="2">
        <v>2.5070000000000001</v>
      </c>
      <c r="G181" s="1">
        <f t="shared" si="2"/>
        <v>14.428356890409551</v>
      </c>
      <c r="I181" s="2"/>
    </row>
    <row r="182" spans="1:9" x14ac:dyDescent="0.3">
      <c r="A182" s="1">
        <v>2012</v>
      </c>
      <c r="B182" s="2">
        <v>2.5110000000000001</v>
      </c>
      <c r="C182" s="1" t="s">
        <v>3</v>
      </c>
      <c r="E182" s="1">
        <v>162</v>
      </c>
      <c r="F182" s="2">
        <v>2.5070000000000001</v>
      </c>
      <c r="G182" s="1">
        <f t="shared" si="2"/>
        <v>14.428356890409551</v>
      </c>
      <c r="I182" s="2"/>
    </row>
    <row r="183" spans="1:9" x14ac:dyDescent="0.3">
      <c r="A183" s="1">
        <v>2012</v>
      </c>
      <c r="B183" s="2">
        <v>2.5110000000000001</v>
      </c>
      <c r="C183" s="1" t="s">
        <v>4</v>
      </c>
      <c r="E183" s="1">
        <v>163</v>
      </c>
      <c r="F183" s="2">
        <v>2.508</v>
      </c>
      <c r="G183" s="1">
        <f t="shared" si="2"/>
        <v>14.294395493941755</v>
      </c>
      <c r="I183" s="2"/>
    </row>
    <row r="184" spans="1:9" x14ac:dyDescent="0.3">
      <c r="A184" s="1">
        <v>2006</v>
      </c>
      <c r="B184" s="2">
        <v>2.512</v>
      </c>
      <c r="C184" s="1" t="s">
        <v>4</v>
      </c>
      <c r="E184" s="1">
        <v>164</v>
      </c>
      <c r="F184" s="2">
        <v>2.508</v>
      </c>
      <c r="G184" s="1">
        <f t="shared" si="2"/>
        <v>14.294395493941755</v>
      </c>
      <c r="I184" s="2"/>
    </row>
    <row r="185" spans="1:9" x14ac:dyDescent="0.3">
      <c r="A185" s="1">
        <v>2016</v>
      </c>
      <c r="B185" s="2">
        <v>2.512</v>
      </c>
      <c r="C185" s="1" t="s">
        <v>4</v>
      </c>
      <c r="E185" s="1">
        <v>165</v>
      </c>
      <c r="F185" s="2">
        <v>2.508</v>
      </c>
      <c r="G185" s="1">
        <f t="shared" si="2"/>
        <v>14.294395493941755</v>
      </c>
      <c r="I185" s="2"/>
    </row>
    <row r="186" spans="1:9" x14ac:dyDescent="0.3">
      <c r="A186" s="1">
        <v>1999</v>
      </c>
      <c r="B186" s="2">
        <v>2.5129999999999999</v>
      </c>
      <c r="C186" s="1" t="s">
        <v>3</v>
      </c>
      <c r="E186" s="1">
        <v>166</v>
      </c>
      <c r="F186" s="2">
        <v>2.508</v>
      </c>
      <c r="G186" s="1">
        <f t="shared" si="2"/>
        <v>14.294395493941755</v>
      </c>
      <c r="I186" s="2"/>
    </row>
    <row r="187" spans="1:9" x14ac:dyDescent="0.3">
      <c r="A187" s="1">
        <v>1999</v>
      </c>
      <c r="B187" s="2">
        <v>2.5129999999999999</v>
      </c>
      <c r="C187" s="1" t="s">
        <v>3</v>
      </c>
      <c r="E187" s="1">
        <v>167</v>
      </c>
      <c r="F187" s="2">
        <v>2.508</v>
      </c>
      <c r="G187" s="1">
        <f t="shared" si="2"/>
        <v>14.294395493941755</v>
      </c>
      <c r="I187" s="2"/>
    </row>
    <row r="188" spans="1:9" x14ac:dyDescent="0.3">
      <c r="A188" s="1">
        <v>2013</v>
      </c>
      <c r="B188" s="2">
        <v>2.5129999999999999</v>
      </c>
      <c r="C188" s="1" t="s">
        <v>4</v>
      </c>
      <c r="E188" s="1">
        <v>168</v>
      </c>
      <c r="F188" s="2">
        <v>2.508</v>
      </c>
      <c r="G188" s="1">
        <f t="shared" si="2"/>
        <v>14.294395493941755</v>
      </c>
      <c r="I188" s="2"/>
    </row>
    <row r="189" spans="1:9" x14ac:dyDescent="0.3">
      <c r="A189" s="1">
        <v>2014</v>
      </c>
      <c r="B189" s="2">
        <v>2.5129999999999999</v>
      </c>
      <c r="C189" s="1" t="s">
        <v>3</v>
      </c>
      <c r="E189" s="1">
        <v>169</v>
      </c>
      <c r="F189" s="2">
        <v>2.5089999999999999</v>
      </c>
      <c r="G189" s="1">
        <f t="shared" si="2"/>
        <v>14.142139095428716</v>
      </c>
      <c r="I189" s="2"/>
    </row>
    <row r="190" spans="1:9" x14ac:dyDescent="0.3">
      <c r="A190" s="1">
        <v>1999</v>
      </c>
      <c r="B190" s="2">
        <v>2.5139999999999998</v>
      </c>
      <c r="C190" s="1" t="s">
        <v>3</v>
      </c>
      <c r="E190" s="1">
        <v>170</v>
      </c>
      <c r="F190" s="2">
        <v>2.5089999999999999</v>
      </c>
      <c r="G190" s="1">
        <f t="shared" si="2"/>
        <v>14.142139095428716</v>
      </c>
      <c r="I190" s="2"/>
    </row>
    <row r="191" spans="1:9" x14ac:dyDescent="0.3">
      <c r="A191" s="1">
        <v>2008</v>
      </c>
      <c r="B191" s="2">
        <v>2.5139999999999998</v>
      </c>
      <c r="C191" s="1" t="s">
        <v>4</v>
      </c>
      <c r="E191" s="1">
        <v>171</v>
      </c>
      <c r="F191" s="2">
        <v>2.5099999999999998</v>
      </c>
      <c r="G191" s="1">
        <f t="shared" si="2"/>
        <v>13.972200460516195</v>
      </c>
      <c r="I191" s="2"/>
    </row>
    <row r="192" spans="1:9" x14ac:dyDescent="0.3">
      <c r="A192" s="1">
        <v>2009</v>
      </c>
      <c r="B192" s="2">
        <v>2.5139999999999998</v>
      </c>
      <c r="C192" s="1" t="s">
        <v>4</v>
      </c>
      <c r="E192" s="1">
        <v>172</v>
      </c>
      <c r="F192" s="2">
        <v>2.5099999999999998</v>
      </c>
      <c r="G192" s="1">
        <f t="shared" si="2"/>
        <v>13.972200460516195</v>
      </c>
      <c r="I192" s="2"/>
    </row>
    <row r="193" spans="1:9" x14ac:dyDescent="0.3">
      <c r="A193" s="1">
        <v>2009</v>
      </c>
      <c r="B193" s="2">
        <v>2.5139999999999998</v>
      </c>
      <c r="C193" s="1" t="s">
        <v>3</v>
      </c>
      <c r="E193" s="1">
        <v>173</v>
      </c>
      <c r="F193" s="2">
        <v>2.5099999999999998</v>
      </c>
      <c r="G193" s="1">
        <f t="shared" si="2"/>
        <v>13.972200460516195</v>
      </c>
      <c r="I193" s="2"/>
    </row>
    <row r="194" spans="1:9" x14ac:dyDescent="0.3">
      <c r="A194" s="1">
        <v>2014</v>
      </c>
      <c r="B194" s="2">
        <v>2.5139999999999998</v>
      </c>
      <c r="C194" s="1" t="s">
        <v>4</v>
      </c>
      <c r="E194" s="1">
        <v>174</v>
      </c>
      <c r="F194" s="2">
        <v>2.5099999999999998</v>
      </c>
      <c r="G194" s="1">
        <f t="shared" si="2"/>
        <v>13.972200460516195</v>
      </c>
      <c r="I194" s="2"/>
    </row>
    <row r="195" spans="1:9" x14ac:dyDescent="0.3">
      <c r="A195" s="1">
        <v>1984</v>
      </c>
      <c r="B195" s="2">
        <v>2.5150000000000001</v>
      </c>
      <c r="C195" s="1" t="s">
        <v>4</v>
      </c>
      <c r="E195" s="1">
        <v>175</v>
      </c>
      <c r="F195" s="2">
        <v>2.5110000000000001</v>
      </c>
      <c r="G195" s="1">
        <f t="shared" si="2"/>
        <v>13.785258176456253</v>
      </c>
      <c r="I195" s="2"/>
    </row>
    <row r="196" spans="1:9" x14ac:dyDescent="0.3">
      <c r="A196" s="1">
        <v>2014</v>
      </c>
      <c r="B196" s="2">
        <v>2.5150000000000001</v>
      </c>
      <c r="C196" s="1" t="s">
        <v>4</v>
      </c>
      <c r="E196" s="1">
        <v>176</v>
      </c>
      <c r="F196" s="2">
        <v>2.5110000000000001</v>
      </c>
      <c r="G196" s="1">
        <f t="shared" si="2"/>
        <v>13.785258176456253</v>
      </c>
      <c r="I196" s="2"/>
    </row>
    <row r="197" spans="1:9" x14ac:dyDescent="0.3">
      <c r="A197" s="1">
        <v>1987</v>
      </c>
      <c r="B197" s="2">
        <v>2.516</v>
      </c>
      <c r="C197" s="1" t="s">
        <v>3</v>
      </c>
      <c r="E197" s="1">
        <v>177</v>
      </c>
      <c r="F197" s="2">
        <v>2.5110000000000001</v>
      </c>
      <c r="G197" s="1">
        <f t="shared" si="2"/>
        <v>13.785258176456253</v>
      </c>
      <c r="I197" s="2"/>
    </row>
    <row r="198" spans="1:9" x14ac:dyDescent="0.3">
      <c r="A198" s="1">
        <v>1990</v>
      </c>
      <c r="B198" s="2">
        <v>2.516</v>
      </c>
      <c r="C198" s="1" t="s">
        <v>3</v>
      </c>
      <c r="E198" s="1">
        <v>178</v>
      </c>
      <c r="F198" s="2">
        <v>2.5110000000000001</v>
      </c>
      <c r="G198" s="1">
        <f t="shared" si="2"/>
        <v>13.785258176456253</v>
      </c>
      <c r="I198" s="2"/>
    </row>
    <row r="199" spans="1:9" x14ac:dyDescent="0.3">
      <c r="A199" s="1">
        <v>1994</v>
      </c>
      <c r="B199" s="2">
        <v>2.516</v>
      </c>
      <c r="C199" s="1" t="s">
        <v>3</v>
      </c>
      <c r="E199" s="1">
        <v>179</v>
      </c>
      <c r="F199" s="2">
        <v>2.5110000000000001</v>
      </c>
      <c r="G199" s="1">
        <f t="shared" si="2"/>
        <v>13.785258176456253</v>
      </c>
      <c r="I199" s="2"/>
    </row>
    <row r="200" spans="1:9" x14ac:dyDescent="0.3">
      <c r="A200" s="1">
        <v>2006</v>
      </c>
      <c r="B200" s="2">
        <v>2.516</v>
      </c>
      <c r="C200" s="1" t="s">
        <v>3</v>
      </c>
      <c r="E200" s="1">
        <v>180</v>
      </c>
      <c r="F200" s="2">
        <v>2.5110000000000001</v>
      </c>
      <c r="G200" s="1">
        <f t="shared" si="2"/>
        <v>13.785258176456253</v>
      </c>
      <c r="I200" s="2"/>
    </row>
    <row r="201" spans="1:9" x14ac:dyDescent="0.3">
      <c r="A201" s="1">
        <v>2010</v>
      </c>
      <c r="B201" s="2">
        <v>2.516</v>
      </c>
      <c r="C201" s="1" t="s">
        <v>4</v>
      </c>
      <c r="E201" s="1">
        <v>181</v>
      </c>
      <c r="F201" s="2">
        <v>2.5110000000000001</v>
      </c>
      <c r="G201" s="1">
        <f t="shared" si="2"/>
        <v>13.785258176456253</v>
      </c>
      <c r="I201" s="2"/>
    </row>
    <row r="202" spans="1:9" x14ac:dyDescent="0.3">
      <c r="A202" s="1">
        <v>2011</v>
      </c>
      <c r="B202" s="2">
        <v>2.516</v>
      </c>
      <c r="C202" s="1" t="s">
        <v>4</v>
      </c>
      <c r="E202" s="1">
        <v>182</v>
      </c>
      <c r="F202" s="2">
        <v>2.512</v>
      </c>
      <c r="G202" s="1">
        <f t="shared" si="2"/>
        <v>13.582052140374929</v>
      </c>
      <c r="I202" s="2"/>
    </row>
    <row r="203" spans="1:9" x14ac:dyDescent="0.3">
      <c r="A203" s="1">
        <v>2016</v>
      </c>
      <c r="B203" s="2">
        <v>2.516</v>
      </c>
      <c r="C203" s="1" t="s">
        <v>3</v>
      </c>
      <c r="E203" s="1">
        <v>183</v>
      </c>
      <c r="F203" s="2">
        <v>2.512</v>
      </c>
      <c r="G203" s="1">
        <f t="shared" si="2"/>
        <v>13.582052140374929</v>
      </c>
      <c r="I203" s="2"/>
    </row>
    <row r="204" spans="1:9" x14ac:dyDescent="0.3">
      <c r="A204" s="1">
        <v>1983</v>
      </c>
      <c r="B204" s="2">
        <v>2.5169999999999999</v>
      </c>
      <c r="C204" s="1" t="s">
        <v>3</v>
      </c>
      <c r="E204" s="1">
        <v>184</v>
      </c>
      <c r="F204" s="2">
        <v>2.5129999999999999</v>
      </c>
      <c r="G204" s="1">
        <f t="shared" si="2"/>
        <v>13.36337868478433</v>
      </c>
      <c r="I204" s="2"/>
    </row>
    <row r="205" spans="1:9" x14ac:dyDescent="0.3">
      <c r="A205" s="1">
        <v>1985</v>
      </c>
      <c r="B205" s="2">
        <v>2.5169999999999999</v>
      </c>
      <c r="C205" s="1" t="s">
        <v>3</v>
      </c>
      <c r="E205" s="1">
        <v>185</v>
      </c>
      <c r="F205" s="2">
        <v>2.5129999999999999</v>
      </c>
      <c r="G205" s="1">
        <f t="shared" si="2"/>
        <v>13.36337868478433</v>
      </c>
      <c r="I205" s="2"/>
    </row>
    <row r="206" spans="1:9" x14ac:dyDescent="0.3">
      <c r="A206" s="1">
        <v>1990</v>
      </c>
      <c r="B206" s="2">
        <v>2.5169999999999999</v>
      </c>
      <c r="C206" s="1" t="s">
        <v>3</v>
      </c>
      <c r="E206" s="1">
        <v>186</v>
      </c>
      <c r="F206" s="2">
        <v>2.5129999999999999</v>
      </c>
      <c r="G206" s="1">
        <f t="shared" si="2"/>
        <v>13.36337868478433</v>
      </c>
      <c r="I206" s="2"/>
    </row>
    <row r="207" spans="1:9" x14ac:dyDescent="0.3">
      <c r="A207" s="1">
        <v>2002</v>
      </c>
      <c r="B207" s="2">
        <v>2.5169999999999999</v>
      </c>
      <c r="C207" s="1" t="s">
        <v>3</v>
      </c>
      <c r="E207" s="1">
        <v>187</v>
      </c>
      <c r="F207" s="2">
        <v>2.5129999999999999</v>
      </c>
      <c r="G207" s="1">
        <f t="shared" si="2"/>
        <v>13.36337868478433</v>
      </c>
      <c r="I207" s="2"/>
    </row>
    <row r="208" spans="1:9" x14ac:dyDescent="0.3">
      <c r="A208" s="1">
        <v>2007</v>
      </c>
      <c r="B208" s="2">
        <v>2.5169999999999999</v>
      </c>
      <c r="C208" s="1" t="s">
        <v>4</v>
      </c>
      <c r="E208" s="1">
        <v>188</v>
      </c>
      <c r="F208" s="2">
        <v>2.5139999999999998</v>
      </c>
      <c r="G208" s="1">
        <f t="shared" si="2"/>
        <v>13.130085385240115</v>
      </c>
      <c r="I208" s="2"/>
    </row>
    <row r="209" spans="1:9" x14ac:dyDescent="0.3">
      <c r="A209" s="1">
        <v>2011</v>
      </c>
      <c r="B209" s="2">
        <v>2.5169999999999999</v>
      </c>
      <c r="C209" s="1" t="s">
        <v>4</v>
      </c>
      <c r="E209" s="1">
        <v>189</v>
      </c>
      <c r="F209" s="2">
        <v>2.5139999999999998</v>
      </c>
      <c r="G209" s="1">
        <f t="shared" si="2"/>
        <v>13.130085385240115</v>
      </c>
      <c r="I209" s="2"/>
    </row>
    <row r="210" spans="1:9" x14ac:dyDescent="0.3">
      <c r="A210" s="1">
        <v>1985</v>
      </c>
      <c r="B210" s="2">
        <v>2.5179999999999998</v>
      </c>
      <c r="C210" s="1" t="s">
        <v>3</v>
      </c>
      <c r="E210" s="1">
        <v>190</v>
      </c>
      <c r="F210" s="2">
        <v>2.5139999999999998</v>
      </c>
      <c r="G210" s="1">
        <f t="shared" si="2"/>
        <v>13.130085385240115</v>
      </c>
      <c r="I210" s="2"/>
    </row>
    <row r="211" spans="1:9" x14ac:dyDescent="0.3">
      <c r="A211" s="1">
        <v>2006</v>
      </c>
      <c r="B211" s="2">
        <v>2.5179999999999998</v>
      </c>
      <c r="C211" s="1" t="s">
        <v>4</v>
      </c>
      <c r="E211" s="1">
        <v>191</v>
      </c>
      <c r="F211" s="2">
        <v>2.5139999999999998</v>
      </c>
      <c r="G211" s="1">
        <f t="shared" si="2"/>
        <v>13.130085385240115</v>
      </c>
      <c r="I211" s="2"/>
    </row>
    <row r="212" spans="1:9" x14ac:dyDescent="0.3">
      <c r="A212" s="1">
        <v>1993</v>
      </c>
      <c r="B212" s="2">
        <v>2.5190000000000001</v>
      </c>
      <c r="C212" s="1" t="s">
        <v>4</v>
      </c>
      <c r="E212" s="1">
        <v>192</v>
      </c>
      <c r="F212" s="2">
        <v>2.5139999999999998</v>
      </c>
      <c r="G212" s="1">
        <f t="shared" si="2"/>
        <v>13.130085385240115</v>
      </c>
      <c r="I212" s="2"/>
    </row>
    <row r="213" spans="1:9" x14ac:dyDescent="0.3">
      <c r="A213" s="1">
        <v>2013</v>
      </c>
      <c r="B213" s="2">
        <v>2.5190000000000001</v>
      </c>
      <c r="C213" s="1" t="s">
        <v>3</v>
      </c>
      <c r="E213" s="1">
        <v>193</v>
      </c>
      <c r="F213" s="2">
        <v>2.5150000000000001</v>
      </c>
      <c r="G213" s="1">
        <f t="shared" ref="G213:G276" si="3">_xlfn.NORM.DIST(F213,$F$2,$F$3,FALSE)</f>
        <v>12.883065597456705</v>
      </c>
      <c r="I213" s="2"/>
    </row>
    <row r="214" spans="1:9" x14ac:dyDescent="0.3">
      <c r="A214" s="1">
        <v>1987</v>
      </c>
      <c r="B214" s="2">
        <v>2.52</v>
      </c>
      <c r="C214" s="1" t="s">
        <v>3</v>
      </c>
      <c r="E214" s="1">
        <v>194</v>
      </c>
      <c r="F214" s="2">
        <v>2.5150000000000001</v>
      </c>
      <c r="G214" s="1">
        <f t="shared" si="3"/>
        <v>12.883065597456705</v>
      </c>
      <c r="I214" s="2"/>
    </row>
    <row r="215" spans="1:9" x14ac:dyDescent="0.3">
      <c r="A215" s="1">
        <v>1988</v>
      </c>
      <c r="B215" s="2">
        <v>2.52</v>
      </c>
      <c r="C215" s="1" t="s">
        <v>4</v>
      </c>
      <c r="E215" s="1">
        <v>195</v>
      </c>
      <c r="F215" s="2">
        <v>2.516</v>
      </c>
      <c r="G215" s="1">
        <f t="shared" si="3"/>
        <v>12.623252773055912</v>
      </c>
      <c r="I215" s="2"/>
    </row>
    <row r="216" spans="1:9" x14ac:dyDescent="0.3">
      <c r="A216" s="1">
        <v>1997</v>
      </c>
      <c r="B216" s="2">
        <v>2.52</v>
      </c>
      <c r="C216" s="1" t="s">
        <v>3</v>
      </c>
      <c r="E216" s="1">
        <v>196</v>
      </c>
      <c r="F216" s="2">
        <v>2.516</v>
      </c>
      <c r="G216" s="1">
        <f t="shared" si="3"/>
        <v>12.623252773055912</v>
      </c>
      <c r="I216" s="2"/>
    </row>
    <row r="217" spans="1:9" x14ac:dyDescent="0.3">
      <c r="A217" s="1">
        <v>2007</v>
      </c>
      <c r="B217" s="2">
        <v>2.52</v>
      </c>
      <c r="C217" s="1" t="s">
        <v>4</v>
      </c>
      <c r="E217" s="1">
        <v>197</v>
      </c>
      <c r="F217" s="2">
        <v>2.516</v>
      </c>
      <c r="G217" s="1">
        <f t="shared" si="3"/>
        <v>12.623252773055912</v>
      </c>
      <c r="I217" s="2"/>
    </row>
    <row r="218" spans="1:9" x14ac:dyDescent="0.3">
      <c r="A218" s="1">
        <v>2017</v>
      </c>
      <c r="B218" s="2">
        <v>2.52</v>
      </c>
      <c r="C218" s="1" t="s">
        <v>3</v>
      </c>
      <c r="E218" s="1">
        <v>198</v>
      </c>
      <c r="F218" s="2">
        <v>2.516</v>
      </c>
      <c r="G218" s="1">
        <f t="shared" si="3"/>
        <v>12.623252773055912</v>
      </c>
      <c r="I218" s="2"/>
    </row>
    <row r="219" spans="1:9" x14ac:dyDescent="0.3">
      <c r="A219" s="1">
        <v>1983</v>
      </c>
      <c r="B219" s="2">
        <v>2.5209999999999999</v>
      </c>
      <c r="C219" s="1" t="s">
        <v>4</v>
      </c>
      <c r="E219" s="1">
        <v>199</v>
      </c>
      <c r="F219" s="2">
        <v>2.516</v>
      </c>
      <c r="G219" s="1">
        <f t="shared" si="3"/>
        <v>12.623252773055912</v>
      </c>
      <c r="I219" s="2"/>
    </row>
    <row r="220" spans="1:9" x14ac:dyDescent="0.3">
      <c r="A220" s="1">
        <v>1989</v>
      </c>
      <c r="B220" s="2">
        <v>2.5209999999999999</v>
      </c>
      <c r="C220" s="1" t="s">
        <v>4</v>
      </c>
      <c r="E220" s="1">
        <v>200</v>
      </c>
      <c r="F220" s="2">
        <v>2.516</v>
      </c>
      <c r="G220" s="1">
        <f t="shared" si="3"/>
        <v>12.623252773055912</v>
      </c>
      <c r="I220" s="2"/>
    </row>
    <row r="221" spans="1:9" x14ac:dyDescent="0.3">
      <c r="A221" s="1">
        <v>1990</v>
      </c>
      <c r="B221" s="2">
        <v>2.5209999999999999</v>
      </c>
      <c r="C221" s="1" t="s">
        <v>4</v>
      </c>
      <c r="E221" s="1">
        <v>201</v>
      </c>
      <c r="F221" s="2">
        <v>2.516</v>
      </c>
      <c r="G221" s="1">
        <f t="shared" si="3"/>
        <v>12.623252773055912</v>
      </c>
      <c r="I221" s="2"/>
    </row>
    <row r="222" spans="1:9" x14ac:dyDescent="0.3">
      <c r="A222" s="1">
        <v>1995</v>
      </c>
      <c r="B222" s="2">
        <v>2.5209999999999999</v>
      </c>
      <c r="C222" s="1" t="s">
        <v>3</v>
      </c>
      <c r="E222" s="1">
        <v>202</v>
      </c>
      <c r="F222" s="2">
        <v>2.5169999999999999</v>
      </c>
      <c r="G222" s="1">
        <f t="shared" si="3"/>
        <v>12.351614604415111</v>
      </c>
      <c r="I222" s="2"/>
    </row>
    <row r="223" spans="1:9" x14ac:dyDescent="0.3">
      <c r="A223" s="1">
        <v>1988</v>
      </c>
      <c r="B223" s="2">
        <v>2.5230000000000001</v>
      </c>
      <c r="C223" s="1" t="s">
        <v>4</v>
      </c>
      <c r="E223" s="1">
        <v>203</v>
      </c>
      <c r="F223" s="2">
        <v>2.5169999999999999</v>
      </c>
      <c r="G223" s="1">
        <f t="shared" si="3"/>
        <v>12.351614604415111</v>
      </c>
      <c r="I223" s="2"/>
    </row>
    <row r="224" spans="1:9" x14ac:dyDescent="0.3">
      <c r="A224" s="1">
        <v>1988</v>
      </c>
      <c r="B224" s="2">
        <v>2.5230000000000001</v>
      </c>
      <c r="C224" s="1" t="s">
        <v>3</v>
      </c>
      <c r="E224" s="1">
        <v>204</v>
      </c>
      <c r="F224" s="2">
        <v>2.5169999999999999</v>
      </c>
      <c r="G224" s="1">
        <f t="shared" si="3"/>
        <v>12.351614604415111</v>
      </c>
      <c r="I224" s="2"/>
    </row>
    <row r="225" spans="1:9" x14ac:dyDescent="0.3">
      <c r="A225" s="1">
        <v>2013</v>
      </c>
      <c r="B225" s="2">
        <v>2.5230000000000001</v>
      </c>
      <c r="C225" s="1" t="s">
        <v>4</v>
      </c>
      <c r="E225" s="1">
        <v>205</v>
      </c>
      <c r="F225" s="2">
        <v>2.5169999999999999</v>
      </c>
      <c r="G225" s="1">
        <f t="shared" si="3"/>
        <v>12.351614604415111</v>
      </c>
      <c r="I225" s="2"/>
    </row>
    <row r="226" spans="1:9" x14ac:dyDescent="0.3">
      <c r="A226" s="1">
        <v>1984</v>
      </c>
      <c r="B226" s="2">
        <v>2.524</v>
      </c>
      <c r="C226" s="1" t="s">
        <v>4</v>
      </c>
      <c r="E226" s="1">
        <v>206</v>
      </c>
      <c r="F226" s="2">
        <v>2.5169999999999999</v>
      </c>
      <c r="G226" s="1">
        <f t="shared" si="3"/>
        <v>12.351614604415111</v>
      </c>
      <c r="I226" s="2"/>
    </row>
    <row r="227" spans="1:9" x14ac:dyDescent="0.3">
      <c r="A227" s="1">
        <v>1991</v>
      </c>
      <c r="B227" s="2">
        <v>2.524</v>
      </c>
      <c r="C227" s="1" t="s">
        <v>4</v>
      </c>
      <c r="E227" s="1">
        <v>207</v>
      </c>
      <c r="F227" s="2">
        <v>2.5169999999999999</v>
      </c>
      <c r="G227" s="1">
        <f t="shared" si="3"/>
        <v>12.351614604415111</v>
      </c>
      <c r="I227" s="2"/>
    </row>
    <row r="228" spans="1:9" x14ac:dyDescent="0.3">
      <c r="A228" s="1">
        <v>1995</v>
      </c>
      <c r="B228" s="2">
        <v>2.524</v>
      </c>
      <c r="C228" s="1" t="s">
        <v>4</v>
      </c>
      <c r="E228" s="1">
        <v>208</v>
      </c>
      <c r="F228" s="2">
        <v>2.5179999999999998</v>
      </c>
      <c r="G228" s="1">
        <f t="shared" si="3"/>
        <v>12.069147049804361</v>
      </c>
      <c r="I228" s="2"/>
    </row>
    <row r="229" spans="1:9" x14ac:dyDescent="0.3">
      <c r="A229" s="1">
        <v>1984</v>
      </c>
      <c r="B229" s="2">
        <v>2.5249999999999999</v>
      </c>
      <c r="C229" s="1" t="s">
        <v>4</v>
      </c>
      <c r="E229" s="1">
        <v>209</v>
      </c>
      <c r="F229" s="2">
        <v>2.5179999999999998</v>
      </c>
      <c r="G229" s="1">
        <f t="shared" si="3"/>
        <v>12.069147049804361</v>
      </c>
      <c r="I229" s="2"/>
    </row>
    <row r="230" spans="1:9" x14ac:dyDescent="0.3">
      <c r="A230" s="1">
        <v>1987</v>
      </c>
      <c r="B230" s="2">
        <v>2.5249999999999999</v>
      </c>
      <c r="C230" s="1" t="s">
        <v>4</v>
      </c>
      <c r="E230" s="1">
        <v>210</v>
      </c>
      <c r="F230" s="2">
        <v>2.5190000000000001</v>
      </c>
      <c r="G230" s="1">
        <f t="shared" si="3"/>
        <v>11.776868290144671</v>
      </c>
      <c r="I230" s="2"/>
    </row>
    <row r="231" spans="1:9" x14ac:dyDescent="0.3">
      <c r="A231" s="1">
        <v>1994</v>
      </c>
      <c r="B231" s="2">
        <v>2.5249999999999999</v>
      </c>
      <c r="C231" s="1" t="s">
        <v>3</v>
      </c>
      <c r="E231" s="1">
        <v>211</v>
      </c>
      <c r="F231" s="2">
        <v>2.5190000000000001</v>
      </c>
      <c r="G231" s="1">
        <f t="shared" si="3"/>
        <v>11.776868290144671</v>
      </c>
      <c r="I231" s="2"/>
    </row>
    <row r="232" spans="1:9" x14ac:dyDescent="0.3">
      <c r="A232" s="1">
        <v>2007</v>
      </c>
      <c r="B232" s="2">
        <v>2.5249999999999999</v>
      </c>
      <c r="C232" s="1" t="s">
        <v>3</v>
      </c>
      <c r="E232" s="1">
        <v>212</v>
      </c>
      <c r="F232" s="2">
        <v>2.52</v>
      </c>
      <c r="G232" s="1">
        <f t="shared" si="3"/>
        <v>11.475812668306588</v>
      </c>
      <c r="I232" s="2"/>
    </row>
    <row r="233" spans="1:9" x14ac:dyDescent="0.3">
      <c r="A233" s="1">
        <v>2016</v>
      </c>
      <c r="B233" s="2">
        <v>2.5249999999999999</v>
      </c>
      <c r="C233" s="1" t="s">
        <v>4</v>
      </c>
      <c r="E233" s="1">
        <v>213</v>
      </c>
      <c r="F233" s="2">
        <v>2.52</v>
      </c>
      <c r="G233" s="1">
        <f t="shared" si="3"/>
        <v>11.475812668306588</v>
      </c>
      <c r="I233" s="2"/>
    </row>
    <row r="234" spans="1:9" x14ac:dyDescent="0.3">
      <c r="A234" s="1">
        <v>1991</v>
      </c>
      <c r="B234" s="2">
        <v>2.5259999999999998</v>
      </c>
      <c r="C234" s="1" t="s">
        <v>3</v>
      </c>
      <c r="E234" s="1">
        <v>214</v>
      </c>
      <c r="F234" s="2">
        <v>2.52</v>
      </c>
      <c r="G234" s="1">
        <f t="shared" si="3"/>
        <v>11.475812668306588</v>
      </c>
      <c r="I234" s="2"/>
    </row>
    <row r="235" spans="1:9" x14ac:dyDescent="0.3">
      <c r="A235" s="1">
        <v>1999</v>
      </c>
      <c r="B235" s="2">
        <v>2.5259999999999998</v>
      </c>
      <c r="C235" s="1" t="s">
        <v>3</v>
      </c>
      <c r="E235" s="1">
        <v>215</v>
      </c>
      <c r="F235" s="2">
        <v>2.52</v>
      </c>
      <c r="G235" s="1">
        <f t="shared" si="3"/>
        <v>11.475812668306588</v>
      </c>
      <c r="I235" s="2"/>
    </row>
    <row r="236" spans="1:9" x14ac:dyDescent="0.3">
      <c r="A236" s="1">
        <v>1984</v>
      </c>
      <c r="B236" s="2">
        <v>2.5270000000000001</v>
      </c>
      <c r="C236" s="1" t="s">
        <v>4</v>
      </c>
      <c r="E236" s="1">
        <v>216</v>
      </c>
      <c r="F236" s="2">
        <v>2.52</v>
      </c>
      <c r="G236" s="1">
        <f t="shared" si="3"/>
        <v>11.475812668306588</v>
      </c>
      <c r="I236" s="2"/>
    </row>
    <row r="237" spans="1:9" x14ac:dyDescent="0.3">
      <c r="A237" s="1">
        <v>2017</v>
      </c>
      <c r="B237" s="2">
        <v>2.5270000000000001</v>
      </c>
      <c r="C237" s="1" t="s">
        <v>4</v>
      </c>
      <c r="E237" s="1">
        <v>217</v>
      </c>
      <c r="F237" s="2">
        <v>2.5209999999999999</v>
      </c>
      <c r="G237" s="1">
        <f t="shared" si="3"/>
        <v>11.167024660902086</v>
      </c>
      <c r="I237" s="2"/>
    </row>
    <row r="238" spans="1:9" x14ac:dyDescent="0.3">
      <c r="A238" s="1">
        <v>2002</v>
      </c>
      <c r="B238" s="2">
        <v>2.528</v>
      </c>
      <c r="C238" s="1" t="s">
        <v>4</v>
      </c>
      <c r="E238" s="1">
        <v>218</v>
      </c>
      <c r="F238" s="2">
        <v>2.5209999999999999</v>
      </c>
      <c r="G238" s="1">
        <f t="shared" si="3"/>
        <v>11.167024660902086</v>
      </c>
      <c r="I238" s="2"/>
    </row>
    <row r="239" spans="1:9" x14ac:dyDescent="0.3">
      <c r="A239" s="1">
        <v>2000</v>
      </c>
      <c r="B239" s="2">
        <v>2.5289999999999999</v>
      </c>
      <c r="C239" s="1" t="s">
        <v>4</v>
      </c>
      <c r="E239" s="1">
        <v>219</v>
      </c>
      <c r="F239" s="2">
        <v>2.5209999999999999</v>
      </c>
      <c r="G239" s="1">
        <f t="shared" si="3"/>
        <v>11.167024660902086</v>
      </c>
      <c r="I239" s="2"/>
    </row>
    <row r="240" spans="1:9" x14ac:dyDescent="0.3">
      <c r="A240" s="1">
        <v>2015</v>
      </c>
      <c r="B240" s="2">
        <v>2.5289999999999999</v>
      </c>
      <c r="C240" s="1" t="s">
        <v>3</v>
      </c>
      <c r="E240" s="1">
        <v>220</v>
      </c>
      <c r="F240" s="2">
        <v>2.5209999999999999</v>
      </c>
      <c r="G240" s="1">
        <f t="shared" si="3"/>
        <v>11.167024660902086</v>
      </c>
      <c r="I240" s="2"/>
    </row>
    <row r="241" spans="1:9" x14ac:dyDescent="0.3">
      <c r="A241" s="1">
        <v>2015</v>
      </c>
      <c r="B241" s="2">
        <v>2.5289999999999999</v>
      </c>
      <c r="C241" s="1" t="s">
        <v>3</v>
      </c>
      <c r="E241" s="1">
        <v>221</v>
      </c>
      <c r="F241" s="2">
        <v>2.5230000000000001</v>
      </c>
      <c r="G241" s="1">
        <f t="shared" si="3"/>
        <v>10.530444508553995</v>
      </c>
      <c r="I241" s="2"/>
    </row>
    <row r="242" spans="1:9" x14ac:dyDescent="0.3">
      <c r="A242" s="1">
        <v>2006</v>
      </c>
      <c r="B242" s="2">
        <v>2.5299999999999998</v>
      </c>
      <c r="C242" s="1" t="s">
        <v>3</v>
      </c>
      <c r="E242" s="1">
        <v>222</v>
      </c>
      <c r="F242" s="2">
        <v>2.5230000000000001</v>
      </c>
      <c r="G242" s="1">
        <f t="shared" si="3"/>
        <v>10.530444508553995</v>
      </c>
      <c r="I242" s="2"/>
    </row>
    <row r="243" spans="1:9" x14ac:dyDescent="0.3">
      <c r="A243" s="1">
        <v>2003</v>
      </c>
      <c r="B243" s="2">
        <v>2.5310000000000001</v>
      </c>
      <c r="C243" s="1" t="s">
        <v>4</v>
      </c>
      <c r="E243" s="1">
        <v>223</v>
      </c>
      <c r="F243" s="2">
        <v>2.5230000000000001</v>
      </c>
      <c r="G243" s="1">
        <f t="shared" si="3"/>
        <v>10.530444508553995</v>
      </c>
      <c r="I243" s="2"/>
    </row>
    <row r="244" spans="1:9" x14ac:dyDescent="0.3">
      <c r="A244" s="1">
        <v>2013</v>
      </c>
      <c r="B244" s="2">
        <v>2.5310000000000001</v>
      </c>
      <c r="C244" s="1" t="s">
        <v>3</v>
      </c>
      <c r="E244" s="1">
        <v>224</v>
      </c>
      <c r="F244" s="2">
        <v>2.524</v>
      </c>
      <c r="G244" s="1">
        <f t="shared" si="3"/>
        <v>10.204739141712128</v>
      </c>
      <c r="I244" s="2"/>
    </row>
    <row r="245" spans="1:9" x14ac:dyDescent="0.3">
      <c r="A245" s="1">
        <v>2014</v>
      </c>
      <c r="B245" s="2">
        <v>2.5310000000000001</v>
      </c>
      <c r="C245" s="1" t="s">
        <v>4</v>
      </c>
      <c r="E245" s="1">
        <v>225</v>
      </c>
      <c r="F245" s="2">
        <v>2.524</v>
      </c>
      <c r="G245" s="1">
        <f t="shared" si="3"/>
        <v>10.204739141712128</v>
      </c>
      <c r="I245" s="2"/>
    </row>
    <row r="246" spans="1:9" x14ac:dyDescent="0.3">
      <c r="A246" s="1">
        <v>1995</v>
      </c>
      <c r="B246" s="2">
        <v>2.532</v>
      </c>
      <c r="C246" s="1" t="s">
        <v>4</v>
      </c>
      <c r="E246" s="1">
        <v>226</v>
      </c>
      <c r="F246" s="2">
        <v>2.524</v>
      </c>
      <c r="G246" s="1">
        <f t="shared" si="3"/>
        <v>10.204739141712128</v>
      </c>
      <c r="I246" s="2"/>
    </row>
    <row r="247" spans="1:9" x14ac:dyDescent="0.3">
      <c r="A247" s="1">
        <v>2012</v>
      </c>
      <c r="B247" s="2">
        <v>2.532</v>
      </c>
      <c r="C247" s="1" t="s">
        <v>4</v>
      </c>
      <c r="E247" s="1">
        <v>227</v>
      </c>
      <c r="F247" s="2">
        <v>2.5249999999999999</v>
      </c>
      <c r="G247" s="1">
        <f t="shared" si="3"/>
        <v>9.8754638617098198</v>
      </c>
      <c r="I247" s="2"/>
    </row>
    <row r="248" spans="1:9" x14ac:dyDescent="0.3">
      <c r="A248" s="1">
        <v>1994</v>
      </c>
      <c r="B248" s="2">
        <v>2.5329999999999999</v>
      </c>
      <c r="C248" s="1" t="s">
        <v>3</v>
      </c>
      <c r="E248" s="1">
        <v>228</v>
      </c>
      <c r="F248" s="2">
        <v>2.5249999999999999</v>
      </c>
      <c r="G248" s="1">
        <f t="shared" si="3"/>
        <v>9.8754638617098198</v>
      </c>
      <c r="I248" s="2"/>
    </row>
    <row r="249" spans="1:9" x14ac:dyDescent="0.3">
      <c r="A249" s="1">
        <v>1995</v>
      </c>
      <c r="B249" s="2">
        <v>2.5329999999999999</v>
      </c>
      <c r="C249" s="1" t="s">
        <v>4</v>
      </c>
      <c r="E249" s="1">
        <v>229</v>
      </c>
      <c r="F249" s="2">
        <v>2.5249999999999999</v>
      </c>
      <c r="G249" s="1">
        <f t="shared" si="3"/>
        <v>9.8754638617098198</v>
      </c>
      <c r="I249" s="2"/>
    </row>
    <row r="250" spans="1:9" x14ac:dyDescent="0.3">
      <c r="A250" s="1">
        <v>2012</v>
      </c>
      <c r="B250" s="2">
        <v>2.5329999999999999</v>
      </c>
      <c r="C250" s="1" t="s">
        <v>4</v>
      </c>
      <c r="E250" s="1">
        <v>230</v>
      </c>
      <c r="F250" s="2">
        <v>2.5249999999999999</v>
      </c>
      <c r="G250" s="1">
        <f t="shared" si="3"/>
        <v>9.8754638617098198</v>
      </c>
      <c r="I250" s="2"/>
    </row>
    <row r="251" spans="1:9" x14ac:dyDescent="0.3">
      <c r="A251" s="1">
        <v>1990</v>
      </c>
      <c r="B251" s="2">
        <v>2.5350000000000001</v>
      </c>
      <c r="C251" s="1" t="s">
        <v>4</v>
      </c>
      <c r="E251" s="1">
        <v>231</v>
      </c>
      <c r="F251" s="2">
        <v>2.5249999999999999</v>
      </c>
      <c r="G251" s="1">
        <f t="shared" si="3"/>
        <v>9.8754638617098198</v>
      </c>
      <c r="I251" s="2"/>
    </row>
    <row r="252" spans="1:9" x14ac:dyDescent="0.3">
      <c r="A252" s="1">
        <v>1993</v>
      </c>
      <c r="B252" s="2">
        <v>2.5350000000000001</v>
      </c>
      <c r="C252" s="1" t="s">
        <v>4</v>
      </c>
      <c r="E252" s="1">
        <v>232</v>
      </c>
      <c r="F252" s="2">
        <v>2.5259999999999998</v>
      </c>
      <c r="G252" s="1">
        <f t="shared" si="3"/>
        <v>9.5436277978610651</v>
      </c>
      <c r="I252" s="2"/>
    </row>
    <row r="253" spans="1:9" x14ac:dyDescent="0.3">
      <c r="A253" s="1">
        <v>2009</v>
      </c>
      <c r="B253" s="2">
        <v>2.5350000000000001</v>
      </c>
      <c r="C253" s="1" t="s">
        <v>4</v>
      </c>
      <c r="E253" s="1">
        <v>233</v>
      </c>
      <c r="F253" s="2">
        <v>2.5259999999999998</v>
      </c>
      <c r="G253" s="1">
        <f t="shared" si="3"/>
        <v>9.5436277978610651</v>
      </c>
      <c r="I253" s="2"/>
    </row>
    <row r="254" spans="1:9" x14ac:dyDescent="0.3">
      <c r="A254" s="1">
        <v>2012</v>
      </c>
      <c r="B254" s="2">
        <v>2.5350000000000001</v>
      </c>
      <c r="C254" s="1" t="s">
        <v>3</v>
      </c>
      <c r="E254" s="1">
        <v>234</v>
      </c>
      <c r="F254" s="2">
        <v>2.5270000000000001</v>
      </c>
      <c r="G254" s="1">
        <f t="shared" si="3"/>
        <v>9.2102172780089884</v>
      </c>
      <c r="I254" s="2"/>
    </row>
    <row r="255" spans="1:9" x14ac:dyDescent="0.3">
      <c r="A255" s="1">
        <v>2015</v>
      </c>
      <c r="B255" s="2">
        <v>2.5350000000000001</v>
      </c>
      <c r="C255" s="1" t="s">
        <v>3</v>
      </c>
      <c r="E255" s="1">
        <v>235</v>
      </c>
      <c r="F255" s="2">
        <v>2.5270000000000001</v>
      </c>
      <c r="G255" s="1">
        <f t="shared" si="3"/>
        <v>9.2102172780089884</v>
      </c>
      <c r="I255" s="2"/>
    </row>
    <row r="256" spans="1:9" x14ac:dyDescent="0.3">
      <c r="A256" s="1">
        <v>1986</v>
      </c>
      <c r="B256" s="2">
        <v>2.536</v>
      </c>
      <c r="C256" s="1" t="s">
        <v>4</v>
      </c>
      <c r="E256" s="1">
        <v>236</v>
      </c>
      <c r="F256" s="2">
        <v>2.528</v>
      </c>
      <c r="G256" s="1">
        <f t="shared" si="3"/>
        <v>8.8761912448132794</v>
      </c>
      <c r="I256" s="2"/>
    </row>
    <row r="257" spans="1:9" x14ac:dyDescent="0.3">
      <c r="A257" s="1">
        <v>2012</v>
      </c>
      <c r="B257" s="2">
        <v>2.536</v>
      </c>
      <c r="C257" s="1" t="s">
        <v>3</v>
      </c>
      <c r="E257" s="1">
        <v>237</v>
      </c>
      <c r="F257" s="2">
        <v>2.5289999999999999</v>
      </c>
      <c r="G257" s="1">
        <f t="shared" si="3"/>
        <v>8.5424770145816584</v>
      </c>
      <c r="I257" s="2"/>
    </row>
    <row r="258" spans="1:9" x14ac:dyDescent="0.3">
      <c r="A258" s="1">
        <v>1986</v>
      </c>
      <c r="B258" s="2">
        <v>2.5379999999999998</v>
      </c>
      <c r="C258" s="1" t="s">
        <v>3</v>
      </c>
      <c r="E258" s="1">
        <v>238</v>
      </c>
      <c r="F258" s="2">
        <v>2.5289999999999999</v>
      </c>
      <c r="G258" s="1">
        <f t="shared" si="3"/>
        <v>8.5424770145816584</v>
      </c>
      <c r="I258" s="2"/>
    </row>
    <row r="259" spans="1:9" x14ac:dyDescent="0.3">
      <c r="A259" s="1">
        <v>1993</v>
      </c>
      <c r="B259" s="2">
        <v>2.5379999999999998</v>
      </c>
      <c r="C259" s="1" t="s">
        <v>4</v>
      </c>
      <c r="E259" s="1">
        <v>239</v>
      </c>
      <c r="F259" s="2">
        <v>2.5289999999999999</v>
      </c>
      <c r="G259" s="1">
        <f t="shared" si="3"/>
        <v>8.5424770145816584</v>
      </c>
      <c r="I259" s="2"/>
    </row>
    <row r="260" spans="1:9" x14ac:dyDescent="0.3">
      <c r="A260" s="1">
        <v>2002</v>
      </c>
      <c r="B260" s="2">
        <v>2.5379999999999998</v>
      </c>
      <c r="C260" s="1" t="s">
        <v>3</v>
      </c>
      <c r="E260" s="1">
        <v>240</v>
      </c>
      <c r="F260" s="2">
        <v>2.5299999999999998</v>
      </c>
      <c r="G260" s="1">
        <f t="shared" si="3"/>
        <v>8.2099664011543858</v>
      </c>
      <c r="I260" s="2"/>
    </row>
    <row r="261" spans="1:9" x14ac:dyDescent="0.3">
      <c r="A261" s="1">
        <v>1983</v>
      </c>
      <c r="B261" s="2">
        <v>2.5390000000000001</v>
      </c>
      <c r="C261" s="1" t="s">
        <v>4</v>
      </c>
      <c r="E261" s="1">
        <v>241</v>
      </c>
      <c r="F261" s="2">
        <v>2.5310000000000001</v>
      </c>
      <c r="G261" s="1">
        <f t="shared" si="3"/>
        <v>7.8795122230858308</v>
      </c>
      <c r="I261" s="2"/>
    </row>
    <row r="262" spans="1:9" x14ac:dyDescent="0.3">
      <c r="A262" s="1">
        <v>2001</v>
      </c>
      <c r="B262" s="2">
        <v>2.5390000000000001</v>
      </c>
      <c r="C262" s="1" t="s">
        <v>3</v>
      </c>
      <c r="E262" s="1">
        <v>242</v>
      </c>
      <c r="F262" s="2">
        <v>2.5310000000000001</v>
      </c>
      <c r="G262" s="1">
        <f t="shared" si="3"/>
        <v>7.8795122230858308</v>
      </c>
      <c r="I262" s="2"/>
    </row>
    <row r="263" spans="1:9" x14ac:dyDescent="0.3">
      <c r="A263" s="1">
        <v>2010</v>
      </c>
      <c r="B263" s="2">
        <v>2.54</v>
      </c>
      <c r="C263" s="1" t="s">
        <v>3</v>
      </c>
      <c r="E263" s="1">
        <v>243</v>
      </c>
      <c r="F263" s="2">
        <v>2.5310000000000001</v>
      </c>
      <c r="G263" s="1">
        <f t="shared" si="3"/>
        <v>7.8795122230858308</v>
      </c>
      <c r="I263" s="2"/>
    </row>
    <row r="264" spans="1:9" x14ac:dyDescent="0.3">
      <c r="A264" s="1">
        <v>1995</v>
      </c>
      <c r="B264" s="2">
        <v>2.5409999999999999</v>
      </c>
      <c r="C264" s="1" t="s">
        <v>4</v>
      </c>
      <c r="E264" s="1">
        <v>244</v>
      </c>
      <c r="F264" s="2">
        <v>2.532</v>
      </c>
      <c r="G264" s="1">
        <f t="shared" si="3"/>
        <v>7.5519252080685959</v>
      </c>
      <c r="I264" s="2"/>
    </row>
    <row r="265" spans="1:9" x14ac:dyDescent="0.3">
      <c r="A265" s="1">
        <v>2003</v>
      </c>
      <c r="B265" s="2">
        <v>2.5409999999999999</v>
      </c>
      <c r="C265" s="1" t="s">
        <v>4</v>
      </c>
      <c r="E265" s="1">
        <v>245</v>
      </c>
      <c r="F265" s="2">
        <v>2.532</v>
      </c>
      <c r="G265" s="1">
        <f t="shared" si="3"/>
        <v>7.5519252080685959</v>
      </c>
      <c r="I265" s="2"/>
    </row>
    <row r="266" spans="1:9" x14ac:dyDescent="0.3">
      <c r="A266" s="1">
        <v>1993</v>
      </c>
      <c r="B266" s="2">
        <v>2.5419999999999998</v>
      </c>
      <c r="C266" s="1" t="s">
        <v>4</v>
      </c>
      <c r="E266" s="1">
        <v>246</v>
      </c>
      <c r="F266" s="2">
        <v>2.5329999999999999</v>
      </c>
      <c r="G266" s="1">
        <f t="shared" si="3"/>
        <v>7.2279713042497322</v>
      </c>
      <c r="I266" s="2"/>
    </row>
    <row r="267" spans="1:9" x14ac:dyDescent="0.3">
      <c r="A267" s="1">
        <v>1994</v>
      </c>
      <c r="B267" s="2">
        <v>2.544</v>
      </c>
      <c r="C267" s="1" t="s">
        <v>3</v>
      </c>
      <c r="E267" s="1">
        <v>247</v>
      </c>
      <c r="F267" s="2">
        <v>2.5329999999999999</v>
      </c>
      <c r="G267" s="1">
        <f t="shared" si="3"/>
        <v>7.2279713042497322</v>
      </c>
      <c r="I267" s="2"/>
    </row>
    <row r="268" spans="1:9" x14ac:dyDescent="0.3">
      <c r="A268" s="1">
        <v>1995</v>
      </c>
      <c r="B268" s="2">
        <v>2.544</v>
      </c>
      <c r="C268" s="1" t="s">
        <v>3</v>
      </c>
      <c r="E268" s="1">
        <v>248</v>
      </c>
      <c r="F268" s="2">
        <v>2.5329999999999999</v>
      </c>
      <c r="G268" s="1">
        <f t="shared" si="3"/>
        <v>7.2279713042497322</v>
      </c>
      <c r="I268" s="2"/>
    </row>
    <row r="269" spans="1:9" x14ac:dyDescent="0.3">
      <c r="A269" s="1">
        <v>1984</v>
      </c>
      <c r="B269" s="2">
        <v>2.5449999999999999</v>
      </c>
      <c r="C269" s="1" t="s">
        <v>3</v>
      </c>
      <c r="E269" s="1">
        <v>249</v>
      </c>
      <c r="F269" s="2">
        <v>2.5350000000000001</v>
      </c>
      <c r="G269" s="1">
        <f t="shared" si="3"/>
        <v>6.5937894804904493</v>
      </c>
      <c r="I269" s="2"/>
    </row>
    <row r="270" spans="1:9" x14ac:dyDescent="0.3">
      <c r="A270" s="1">
        <v>1985</v>
      </c>
      <c r="B270" s="2">
        <v>2.5449999999999999</v>
      </c>
      <c r="C270" s="1" t="s">
        <v>4</v>
      </c>
      <c r="E270" s="1">
        <v>250</v>
      </c>
      <c r="F270" s="2">
        <v>2.5350000000000001</v>
      </c>
      <c r="G270" s="1">
        <f t="shared" si="3"/>
        <v>6.5937894804904493</v>
      </c>
      <c r="I270" s="2"/>
    </row>
    <row r="271" spans="1:9" x14ac:dyDescent="0.3">
      <c r="A271" s="1">
        <v>2008</v>
      </c>
      <c r="B271" s="2">
        <v>2.5449999999999999</v>
      </c>
      <c r="C271" s="1" t="s">
        <v>4</v>
      </c>
      <c r="E271" s="1">
        <v>251</v>
      </c>
      <c r="F271" s="2">
        <v>2.5350000000000001</v>
      </c>
      <c r="G271" s="1">
        <f t="shared" si="3"/>
        <v>6.5937894804904493</v>
      </c>
      <c r="I271" s="2"/>
    </row>
    <row r="272" spans="1:9" x14ac:dyDescent="0.3">
      <c r="A272" s="1">
        <v>1994</v>
      </c>
      <c r="B272" s="2">
        <v>2.548</v>
      </c>
      <c r="C272" s="1" t="s">
        <v>4</v>
      </c>
      <c r="E272" s="1">
        <v>252</v>
      </c>
      <c r="F272" s="2">
        <v>2.5350000000000001</v>
      </c>
      <c r="G272" s="1">
        <f t="shared" si="3"/>
        <v>6.5937894804904493</v>
      </c>
      <c r="I272" s="2"/>
    </row>
    <row r="273" spans="1:9" x14ac:dyDescent="0.3">
      <c r="A273" s="1">
        <v>1983</v>
      </c>
      <c r="B273" s="2">
        <v>2.552</v>
      </c>
      <c r="C273" s="1" t="s">
        <v>4</v>
      </c>
      <c r="E273" s="1">
        <v>253</v>
      </c>
      <c r="F273" s="2">
        <v>2.5350000000000001</v>
      </c>
      <c r="G273" s="1">
        <f t="shared" si="3"/>
        <v>6.5937894804904493</v>
      </c>
      <c r="I273" s="2"/>
    </row>
    <row r="274" spans="1:9" x14ac:dyDescent="0.3">
      <c r="A274" s="1">
        <v>2001</v>
      </c>
      <c r="B274" s="2">
        <v>2.5529999999999999</v>
      </c>
      <c r="C274" s="1" t="s">
        <v>4</v>
      </c>
      <c r="E274" s="1">
        <v>254</v>
      </c>
      <c r="F274" s="2">
        <v>2.536</v>
      </c>
      <c r="G274" s="1">
        <f t="shared" si="3"/>
        <v>6.2848511372665286</v>
      </c>
      <c r="I274" s="2"/>
    </row>
    <row r="275" spans="1:9" x14ac:dyDescent="0.3">
      <c r="A275" s="1">
        <v>1989</v>
      </c>
      <c r="B275" s="2">
        <v>2.5539999999999998</v>
      </c>
      <c r="C275" s="1" t="s">
        <v>4</v>
      </c>
      <c r="E275" s="1">
        <v>255</v>
      </c>
      <c r="F275" s="2">
        <v>2.536</v>
      </c>
      <c r="G275" s="1">
        <f t="shared" si="3"/>
        <v>6.2848511372665286</v>
      </c>
      <c r="I275" s="2"/>
    </row>
    <row r="276" spans="1:9" x14ac:dyDescent="0.3">
      <c r="A276" s="1">
        <v>2007</v>
      </c>
      <c r="B276" s="2">
        <v>2.556</v>
      </c>
      <c r="C276" s="1" t="s">
        <v>4</v>
      </c>
      <c r="E276" s="1">
        <v>256</v>
      </c>
      <c r="F276" s="2">
        <v>2.5379999999999998</v>
      </c>
      <c r="G276" s="1">
        <f t="shared" si="3"/>
        <v>5.6861198628245866</v>
      </c>
      <c r="I276" s="2"/>
    </row>
    <row r="277" spans="1:9" x14ac:dyDescent="0.3">
      <c r="A277" s="1">
        <v>1990</v>
      </c>
      <c r="B277" s="2">
        <v>2.5569999999999999</v>
      </c>
      <c r="C277" s="1" t="s">
        <v>4</v>
      </c>
      <c r="E277" s="1">
        <v>257</v>
      </c>
      <c r="F277" s="2">
        <v>2.5379999999999998</v>
      </c>
      <c r="G277" s="1">
        <f t="shared" ref="G277:G300" si="4">_xlfn.NORM.DIST(F277,$F$2,$F$3,FALSE)</f>
        <v>5.6861198628245866</v>
      </c>
      <c r="I277" s="2"/>
    </row>
    <row r="278" spans="1:9" x14ac:dyDescent="0.3">
      <c r="A278" s="1">
        <v>2013</v>
      </c>
      <c r="B278" s="2">
        <v>2.5579999999999998</v>
      </c>
      <c r="C278" s="1" t="s">
        <v>3</v>
      </c>
      <c r="E278" s="1">
        <v>258</v>
      </c>
      <c r="F278" s="2">
        <v>2.5379999999999998</v>
      </c>
      <c r="G278" s="1">
        <f t="shared" si="4"/>
        <v>5.6861198628245866</v>
      </c>
      <c r="I278" s="2"/>
    </row>
    <row r="279" spans="1:9" x14ac:dyDescent="0.3">
      <c r="A279" s="1">
        <v>1986</v>
      </c>
      <c r="B279" s="2">
        <v>2.5590000000000002</v>
      </c>
      <c r="C279" s="1" t="s">
        <v>3</v>
      </c>
      <c r="E279" s="1">
        <v>259</v>
      </c>
      <c r="F279" s="2">
        <v>2.5390000000000001</v>
      </c>
      <c r="G279" s="1">
        <f t="shared" si="4"/>
        <v>5.3973068203803711</v>
      </c>
      <c r="I279" s="2"/>
    </row>
    <row r="280" spans="1:9" x14ac:dyDescent="0.3">
      <c r="A280" s="1">
        <v>1997</v>
      </c>
      <c r="B280" s="2">
        <v>2.5619999999999998</v>
      </c>
      <c r="C280" s="1" t="s">
        <v>3</v>
      </c>
      <c r="E280" s="1">
        <v>260</v>
      </c>
      <c r="F280" s="2">
        <v>2.5390000000000001</v>
      </c>
      <c r="G280" s="1">
        <f t="shared" si="4"/>
        <v>5.3973068203803711</v>
      </c>
      <c r="I280" s="2"/>
    </row>
    <row r="281" spans="1:9" x14ac:dyDescent="0.3">
      <c r="A281" s="1">
        <v>2008</v>
      </c>
      <c r="B281" s="2">
        <v>2.5640000000000001</v>
      </c>
      <c r="C281" s="1" t="s">
        <v>4</v>
      </c>
      <c r="E281" s="1">
        <v>261</v>
      </c>
      <c r="F281" s="2">
        <v>2.54</v>
      </c>
      <c r="G281" s="1">
        <f t="shared" si="4"/>
        <v>5.116094958386098</v>
      </c>
      <c r="I281" s="2"/>
    </row>
    <row r="282" spans="1:9" x14ac:dyDescent="0.3">
      <c r="A282" s="1">
        <v>2014</v>
      </c>
      <c r="B282" s="2">
        <v>2.5640000000000001</v>
      </c>
      <c r="C282" s="1" t="s">
        <v>3</v>
      </c>
      <c r="E282" s="1">
        <v>262</v>
      </c>
      <c r="F282" s="2">
        <v>2.5409999999999999</v>
      </c>
      <c r="G282" s="1">
        <f t="shared" si="4"/>
        <v>4.8428439957451221</v>
      </c>
      <c r="I282" s="2"/>
    </row>
    <row r="283" spans="1:9" x14ac:dyDescent="0.3">
      <c r="E283" s="1">
        <v>263</v>
      </c>
      <c r="F283" s="2">
        <v>2.5409999999999999</v>
      </c>
      <c r="G283" s="1">
        <f t="shared" si="4"/>
        <v>4.8428439957451221</v>
      </c>
    </row>
    <row r="284" spans="1:9" x14ac:dyDescent="0.3">
      <c r="E284" s="1">
        <v>264</v>
      </c>
      <c r="F284" s="2">
        <v>2.5419999999999998</v>
      </c>
      <c r="G284" s="1">
        <f t="shared" si="4"/>
        <v>4.5778626098782826</v>
      </c>
    </row>
    <row r="285" spans="1:9" x14ac:dyDescent="0.3">
      <c r="E285" s="1">
        <v>265</v>
      </c>
      <c r="F285" s="2">
        <v>2.544</v>
      </c>
      <c r="G285" s="1">
        <f t="shared" si="4"/>
        <v>4.0736947552691412</v>
      </c>
    </row>
    <row r="286" spans="1:9" x14ac:dyDescent="0.3">
      <c r="E286" s="1">
        <v>266</v>
      </c>
      <c r="F286" s="2">
        <v>2.544</v>
      </c>
      <c r="G286" s="1">
        <f t="shared" si="4"/>
        <v>4.0736947552691412</v>
      </c>
    </row>
    <row r="287" spans="1:9" x14ac:dyDescent="0.3">
      <c r="E287" s="1">
        <v>267</v>
      </c>
      <c r="F287" s="2">
        <v>2.5449999999999999</v>
      </c>
      <c r="G287" s="1">
        <f t="shared" si="4"/>
        <v>3.8348814058367453</v>
      </c>
    </row>
    <row r="288" spans="1:9" x14ac:dyDescent="0.3">
      <c r="E288" s="1">
        <v>268</v>
      </c>
      <c r="F288" s="2">
        <v>2.5449999999999999</v>
      </c>
      <c r="G288" s="1">
        <f t="shared" si="4"/>
        <v>3.8348814058367453</v>
      </c>
    </row>
    <row r="289" spans="5:7" x14ac:dyDescent="0.3">
      <c r="E289" s="1">
        <v>269</v>
      </c>
      <c r="F289" s="2">
        <v>2.5449999999999999</v>
      </c>
      <c r="G289" s="1">
        <f t="shared" si="4"/>
        <v>3.8348814058367453</v>
      </c>
    </row>
    <row r="290" spans="5:7" x14ac:dyDescent="0.3">
      <c r="E290" s="1">
        <v>270</v>
      </c>
      <c r="F290" s="2">
        <v>2.548</v>
      </c>
      <c r="G290" s="1">
        <f t="shared" si="4"/>
        <v>3.1728143206246524</v>
      </c>
    </row>
    <row r="291" spans="5:7" x14ac:dyDescent="0.3">
      <c r="E291" s="1">
        <v>271</v>
      </c>
      <c r="F291" s="2">
        <v>2.552</v>
      </c>
      <c r="G291" s="1">
        <f t="shared" si="4"/>
        <v>2.4171695587357269</v>
      </c>
    </row>
    <row r="292" spans="5:7" x14ac:dyDescent="0.3">
      <c r="E292" s="1">
        <v>272</v>
      </c>
      <c r="F292" s="2">
        <v>2.5529999999999999</v>
      </c>
      <c r="G292" s="1">
        <f t="shared" si="4"/>
        <v>2.250472514495669</v>
      </c>
    </row>
    <row r="293" spans="5:7" x14ac:dyDescent="0.3">
      <c r="E293" s="1">
        <v>273</v>
      </c>
      <c r="F293" s="2">
        <v>2.5539999999999998</v>
      </c>
      <c r="G293" s="1">
        <f t="shared" si="4"/>
        <v>2.0923806881879066</v>
      </c>
    </row>
    <row r="294" spans="5:7" x14ac:dyDescent="0.3">
      <c r="E294" s="1">
        <v>274</v>
      </c>
      <c r="F294" s="2">
        <v>2.556</v>
      </c>
      <c r="G294" s="1">
        <f t="shared" si="4"/>
        <v>1.8012577454927305</v>
      </c>
    </row>
    <row r="295" spans="5:7" x14ac:dyDescent="0.3">
      <c r="E295" s="1">
        <v>275</v>
      </c>
      <c r="F295" s="2">
        <v>2.5569999999999999</v>
      </c>
      <c r="G295" s="1">
        <f t="shared" si="4"/>
        <v>1.6678002314537108</v>
      </c>
    </row>
    <row r="296" spans="5:7" x14ac:dyDescent="0.3">
      <c r="E296" s="1">
        <v>276</v>
      </c>
      <c r="F296" s="2">
        <v>2.5579999999999998</v>
      </c>
      <c r="G296" s="1">
        <f t="shared" si="4"/>
        <v>1.5421001915220343</v>
      </c>
    </row>
    <row r="297" spans="5:7" x14ac:dyDescent="0.3">
      <c r="E297" s="1">
        <v>277</v>
      </c>
      <c r="F297" s="2">
        <v>2.5590000000000002</v>
      </c>
      <c r="G297" s="1">
        <f t="shared" si="4"/>
        <v>1.4239067385775162</v>
      </c>
    </row>
    <row r="298" spans="5:7" x14ac:dyDescent="0.3">
      <c r="E298" s="1">
        <v>278</v>
      </c>
      <c r="F298" s="2">
        <v>2.5619999999999998</v>
      </c>
      <c r="G298" s="1">
        <f t="shared" si="4"/>
        <v>1.1117080876572663</v>
      </c>
    </row>
    <row r="299" spans="5:7" x14ac:dyDescent="0.3">
      <c r="E299" s="1">
        <v>279</v>
      </c>
      <c r="F299" s="2">
        <v>2.5640000000000001</v>
      </c>
      <c r="G299" s="1">
        <f t="shared" si="4"/>
        <v>0.93612147753643715</v>
      </c>
    </row>
    <row r="300" spans="5:7" x14ac:dyDescent="0.3">
      <c r="E300" s="1">
        <v>280</v>
      </c>
      <c r="F300" s="2">
        <v>2.5640000000000001</v>
      </c>
      <c r="G300" s="1">
        <f t="shared" si="4"/>
        <v>0.93612147753643715</v>
      </c>
    </row>
  </sheetData>
  <sortState xmlns:xlrd2="http://schemas.microsoft.com/office/spreadsheetml/2017/richdata2" ref="A2:C282">
    <sortCondition ref="B2:B282"/>
  </sortState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E9E6-1D97-43E1-8AA3-6CD5D5867D1D}">
  <dimension ref="A1:AM282"/>
  <sheetViews>
    <sheetView zoomScale="61" workbookViewId="0">
      <selection activeCell="G24" sqref="G24"/>
    </sheetView>
  </sheetViews>
  <sheetFormatPr defaultRowHeight="15.6" x14ac:dyDescent="0.3"/>
  <cols>
    <col min="3" max="3" width="13.69921875" customWidth="1"/>
    <col min="4" max="4" width="51.8984375" customWidth="1"/>
    <col min="5" max="5" width="14.8984375" bestFit="1" customWidth="1"/>
    <col min="6" max="6" width="14.69921875" customWidth="1"/>
  </cols>
  <sheetData>
    <row r="1" spans="1:39" x14ac:dyDescent="0.3">
      <c r="A1" s="3" t="s">
        <v>0</v>
      </c>
      <c r="B1" s="4" t="s">
        <v>1</v>
      </c>
      <c r="C1" s="3" t="s">
        <v>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</row>
    <row r="2" spans="1:39" x14ac:dyDescent="0.3">
      <c r="A2" s="1">
        <v>1983</v>
      </c>
      <c r="B2" s="2">
        <v>2.552</v>
      </c>
      <c r="C2" s="1" t="s">
        <v>4</v>
      </c>
      <c r="E2" s="2">
        <v>2.552</v>
      </c>
      <c r="F2" s="2">
        <v>2.5449999999999999</v>
      </c>
      <c r="G2" s="2">
        <v>2.5449999999999999</v>
      </c>
      <c r="H2" s="2">
        <v>2.5590000000000002</v>
      </c>
      <c r="I2" s="2">
        <v>2.5249999999999999</v>
      </c>
      <c r="J2" s="2">
        <v>2.5230000000000001</v>
      </c>
      <c r="K2" s="2">
        <v>2.5539999999999998</v>
      </c>
      <c r="L2" s="2">
        <v>2.5569999999999999</v>
      </c>
      <c r="M2" s="2">
        <v>2.5259999999999998</v>
      </c>
      <c r="N2" s="2">
        <v>2.48</v>
      </c>
      <c r="O2" s="2">
        <v>2.5419999999999998</v>
      </c>
      <c r="P2" s="2">
        <v>2.548</v>
      </c>
      <c r="Q2" s="2">
        <v>2.544</v>
      </c>
      <c r="R2" s="2">
        <v>2.4980000000000002</v>
      </c>
      <c r="S2" s="2">
        <v>2.5619999999999998</v>
      </c>
      <c r="T2" s="2">
        <v>2.5059999999999998</v>
      </c>
      <c r="U2" s="2">
        <v>2.5259999999999998</v>
      </c>
      <c r="V2" s="2">
        <v>2.5289999999999999</v>
      </c>
      <c r="W2" s="2">
        <v>2.5529999999999999</v>
      </c>
      <c r="X2" s="2">
        <v>2.5379999999999998</v>
      </c>
      <c r="Y2" s="2">
        <v>2.5409999999999999</v>
      </c>
      <c r="Z2" s="2">
        <v>2.5089999999999999</v>
      </c>
      <c r="AA2" s="2">
        <v>2.508</v>
      </c>
      <c r="AB2" s="2">
        <v>2.5299999999999998</v>
      </c>
      <c r="AC2" s="2">
        <v>2.556</v>
      </c>
      <c r="AD2" s="2">
        <v>2.5640000000000001</v>
      </c>
      <c r="AE2" s="2">
        <v>2.5350000000000001</v>
      </c>
      <c r="AF2" s="2">
        <v>2.54</v>
      </c>
      <c r="AG2" s="2">
        <v>2.5169999999999999</v>
      </c>
      <c r="AH2" s="2">
        <v>2.536</v>
      </c>
      <c r="AI2" s="2">
        <v>2.5579999999999998</v>
      </c>
      <c r="AJ2" s="2">
        <v>2.5640000000000001</v>
      </c>
      <c r="AK2" s="2">
        <v>2.5350000000000001</v>
      </c>
      <c r="AL2" s="2">
        <v>2.5249999999999999</v>
      </c>
      <c r="AM2" s="2">
        <v>2.5270000000000001</v>
      </c>
    </row>
    <row r="3" spans="1:39" x14ac:dyDescent="0.3">
      <c r="A3" s="1">
        <v>1983</v>
      </c>
      <c r="B3" s="2">
        <v>2.5390000000000001</v>
      </c>
      <c r="C3" s="1" t="s">
        <v>4</v>
      </c>
      <c r="E3" s="2">
        <v>2.5390000000000001</v>
      </c>
      <c r="F3" s="2">
        <v>2.5270000000000001</v>
      </c>
      <c r="G3" s="2">
        <v>2.5179999999999998</v>
      </c>
      <c r="H3" s="2">
        <v>2.5379999999999998</v>
      </c>
      <c r="I3" s="2">
        <v>2.52</v>
      </c>
      <c r="J3" s="2">
        <v>2.5230000000000001</v>
      </c>
      <c r="K3" s="2">
        <v>2.5209999999999999</v>
      </c>
      <c r="L3" s="2">
        <v>2.5350000000000001</v>
      </c>
      <c r="M3" s="2">
        <v>2.524</v>
      </c>
      <c r="N3" s="2">
        <v>2.46</v>
      </c>
      <c r="O3" s="2">
        <v>2.5379999999999998</v>
      </c>
      <c r="P3" s="2">
        <v>2.544</v>
      </c>
      <c r="Q3" s="2">
        <v>2.5409999999999999</v>
      </c>
      <c r="R3" s="2">
        <v>2.488</v>
      </c>
      <c r="S3" s="2">
        <v>2.52</v>
      </c>
      <c r="T3" s="2">
        <v>2.5</v>
      </c>
      <c r="U3" s="2">
        <v>2.5139999999999998</v>
      </c>
      <c r="V3" s="2">
        <v>2.508</v>
      </c>
      <c r="W3" s="2">
        <v>2.5390000000000001</v>
      </c>
      <c r="X3" s="2">
        <v>2.528</v>
      </c>
      <c r="Y3" s="2">
        <v>2.5310000000000001</v>
      </c>
      <c r="Z3" s="2">
        <v>2.492</v>
      </c>
      <c r="AA3" s="2">
        <v>2.5049999999999999</v>
      </c>
      <c r="AB3" s="2">
        <v>2.5179999999999998</v>
      </c>
      <c r="AC3" s="2">
        <v>2.5249999999999999</v>
      </c>
      <c r="AD3" s="2">
        <v>2.5449999999999999</v>
      </c>
      <c r="AE3" s="2">
        <v>2.5139999999999998</v>
      </c>
      <c r="AF3" s="2">
        <v>2.516</v>
      </c>
      <c r="AG3" s="2">
        <v>2.516</v>
      </c>
      <c r="AH3" s="2">
        <v>2.5350000000000001</v>
      </c>
      <c r="AI3" s="2">
        <v>2.5310000000000001</v>
      </c>
      <c r="AJ3" s="2">
        <v>2.5310000000000001</v>
      </c>
      <c r="AK3" s="2">
        <v>2.5289999999999999</v>
      </c>
      <c r="AL3" s="2">
        <v>2.516</v>
      </c>
      <c r="AM3" s="2">
        <v>2.52</v>
      </c>
    </row>
    <row r="4" spans="1:39" x14ac:dyDescent="0.3">
      <c r="A4" s="1">
        <v>1983</v>
      </c>
      <c r="B4" s="2">
        <v>2.5209999999999999</v>
      </c>
      <c r="C4" s="1" t="s">
        <v>4</v>
      </c>
      <c r="E4" s="2">
        <v>2.5209999999999999</v>
      </c>
      <c r="F4" s="2">
        <v>2.5249999999999999</v>
      </c>
      <c r="G4" s="2">
        <v>2.5169999999999999</v>
      </c>
      <c r="H4" s="2">
        <v>2.536</v>
      </c>
      <c r="I4" s="2">
        <v>2.516</v>
      </c>
      <c r="J4" s="2">
        <v>2.52</v>
      </c>
      <c r="K4" s="2">
        <v>2.5110000000000001</v>
      </c>
      <c r="L4" s="2">
        <v>2.5209999999999999</v>
      </c>
      <c r="M4" s="2">
        <v>2.504</v>
      </c>
      <c r="O4" s="2">
        <v>2.5350000000000001</v>
      </c>
      <c r="P4" s="2">
        <v>2.5329999999999999</v>
      </c>
      <c r="Q4" s="2">
        <v>2.5329999999999999</v>
      </c>
      <c r="R4" s="2">
        <v>2.4809999999999999</v>
      </c>
      <c r="S4" s="2">
        <v>2.5049999999999999</v>
      </c>
      <c r="T4" s="2">
        <v>2.4980000000000002</v>
      </c>
      <c r="U4" s="2">
        <v>2.5129999999999999</v>
      </c>
      <c r="V4" s="2">
        <v>2.4889999999999999</v>
      </c>
      <c r="W4" s="2">
        <v>2.5099999999999998</v>
      </c>
      <c r="X4" s="2">
        <v>2.5169999999999999</v>
      </c>
      <c r="Y4" s="2">
        <v>2.504</v>
      </c>
      <c r="Z4" s="2">
        <v>2.4889999999999999</v>
      </c>
      <c r="AA4" s="2">
        <v>2.5049999999999999</v>
      </c>
      <c r="AB4" s="2">
        <v>2.516</v>
      </c>
      <c r="AC4" s="2">
        <v>2.52</v>
      </c>
      <c r="AD4" s="2">
        <v>2.5139999999999998</v>
      </c>
      <c r="AE4" s="2">
        <v>2.5139999999999998</v>
      </c>
      <c r="AF4" s="2">
        <v>2.508</v>
      </c>
      <c r="AG4" s="2">
        <v>2.5070000000000001</v>
      </c>
      <c r="AH4" s="2">
        <v>2.5329999999999999</v>
      </c>
      <c r="AI4" s="2">
        <v>2.5230000000000001</v>
      </c>
      <c r="AJ4" s="2">
        <v>2.5150000000000001</v>
      </c>
      <c r="AK4" s="2">
        <v>2.5289999999999999</v>
      </c>
      <c r="AL4" s="2">
        <v>2.512</v>
      </c>
      <c r="AM4" s="2">
        <v>2.508</v>
      </c>
    </row>
    <row r="5" spans="1:39" x14ac:dyDescent="0.3">
      <c r="A5" s="1">
        <v>1983</v>
      </c>
      <c r="B5" s="2">
        <v>2.5169999999999999</v>
      </c>
      <c r="C5" s="1" t="s">
        <v>3</v>
      </c>
      <c r="E5" s="2">
        <v>2.5169999999999999</v>
      </c>
      <c r="F5" s="2">
        <v>2.524</v>
      </c>
      <c r="G5" s="2">
        <v>2.4940000000000002</v>
      </c>
      <c r="H5" s="2">
        <v>2.5110000000000001</v>
      </c>
      <c r="I5" s="2">
        <v>2.5030000000000001</v>
      </c>
      <c r="J5" s="2">
        <v>2.4889999999999999</v>
      </c>
      <c r="K5" s="2">
        <v>2.5030000000000001</v>
      </c>
      <c r="L5" s="2">
        <v>2.5169999999999999</v>
      </c>
      <c r="M5" s="2">
        <v>2.5030000000000001</v>
      </c>
      <c r="O5" s="2">
        <v>2.5190000000000001</v>
      </c>
      <c r="P5" s="2">
        <v>2.5249999999999999</v>
      </c>
      <c r="Q5" s="2">
        <v>2.532</v>
      </c>
      <c r="R5" s="2">
        <v>2.4790000000000001</v>
      </c>
      <c r="S5" s="2">
        <v>2.504</v>
      </c>
      <c r="T5" s="2">
        <v>2.4940000000000002</v>
      </c>
      <c r="U5" s="2">
        <v>2.5129999999999999</v>
      </c>
      <c r="V5" s="2">
        <v>2.4830000000000001</v>
      </c>
      <c r="W5" s="2">
        <v>2.508</v>
      </c>
      <c r="X5" s="2">
        <v>2.5110000000000001</v>
      </c>
      <c r="Y5" s="2">
        <v>2.4900000000000002</v>
      </c>
      <c r="Z5" s="2">
        <v>2.4830000000000001</v>
      </c>
      <c r="AA5" s="2">
        <v>2.5019999999999998</v>
      </c>
      <c r="AB5" s="2">
        <v>2.512</v>
      </c>
      <c r="AC5" s="2">
        <v>2.5169999999999999</v>
      </c>
      <c r="AD5" s="2">
        <v>2.4969999999999999</v>
      </c>
      <c r="AE5" s="2">
        <v>2.5110000000000001</v>
      </c>
      <c r="AF5" s="2">
        <v>2.5030000000000001</v>
      </c>
      <c r="AG5" s="2">
        <v>2.4860000000000002</v>
      </c>
      <c r="AH5" s="2">
        <v>2.532</v>
      </c>
      <c r="AI5" s="2">
        <v>2.5190000000000001</v>
      </c>
      <c r="AJ5" s="2">
        <v>2.5139999999999998</v>
      </c>
      <c r="AK5" s="2">
        <v>2.5099999999999998</v>
      </c>
      <c r="AL5" s="2">
        <v>2.484</v>
      </c>
      <c r="AM5" s="2">
        <v>2.5019999999999998</v>
      </c>
    </row>
    <row r="6" spans="1:39" x14ac:dyDescent="0.3">
      <c r="A6" s="1">
        <v>1983</v>
      </c>
      <c r="B6" s="2">
        <v>2.5099999999999998</v>
      </c>
      <c r="C6" s="1" t="s">
        <v>4</v>
      </c>
      <c r="E6" s="2">
        <v>2.5099999999999998</v>
      </c>
      <c r="F6" s="2">
        <v>2.5150000000000001</v>
      </c>
      <c r="G6" s="2">
        <v>2.484</v>
      </c>
      <c r="H6" s="2">
        <v>2.4660000000000002</v>
      </c>
      <c r="I6" s="2">
        <v>2.4969999999999999</v>
      </c>
      <c r="J6" s="2">
        <v>2.488</v>
      </c>
      <c r="K6" s="2">
        <v>2.4910000000000001</v>
      </c>
      <c r="L6" s="2">
        <v>2.516</v>
      </c>
      <c r="M6" s="2">
        <v>2.492</v>
      </c>
      <c r="O6" s="2">
        <v>2.5030000000000001</v>
      </c>
      <c r="P6" s="2">
        <v>2.516</v>
      </c>
      <c r="Q6" s="2">
        <v>2.524</v>
      </c>
      <c r="R6" s="2">
        <v>2.4729999999999999</v>
      </c>
      <c r="S6" s="2">
        <v>2.4969999999999999</v>
      </c>
      <c r="T6" s="2">
        <v>2.4670000000000001</v>
      </c>
      <c r="U6" s="2">
        <v>2.4849999999999999</v>
      </c>
      <c r="V6" s="2">
        <v>2.46</v>
      </c>
      <c r="W6" s="2">
        <v>2.4969999999999999</v>
      </c>
      <c r="X6" s="2">
        <v>2.5019999999999998</v>
      </c>
      <c r="Y6" s="2">
        <v>2.488</v>
      </c>
      <c r="AA6" s="2">
        <v>2.4809999999999999</v>
      </c>
      <c r="AB6" s="2">
        <v>2.5110000000000001</v>
      </c>
      <c r="AC6" s="2">
        <v>2.5089999999999999</v>
      </c>
      <c r="AD6" s="2">
        <v>2.4950000000000001</v>
      </c>
      <c r="AE6" s="2">
        <v>2.4929999999999999</v>
      </c>
      <c r="AF6" s="2">
        <v>2.5</v>
      </c>
      <c r="AG6" s="2">
        <v>2.4860000000000002</v>
      </c>
      <c r="AH6" s="2">
        <v>2.5110000000000001</v>
      </c>
      <c r="AI6" s="2">
        <v>2.5129999999999999</v>
      </c>
      <c r="AJ6" s="2">
        <v>2.5129999999999999</v>
      </c>
      <c r="AK6" s="2">
        <v>2.5019999999999998</v>
      </c>
      <c r="AL6" s="2">
        <v>2.452</v>
      </c>
      <c r="AM6" s="2">
        <v>2.4940000000000002</v>
      </c>
    </row>
    <row r="7" spans="1:39" x14ac:dyDescent="0.3">
      <c r="A7" s="1">
        <v>1983</v>
      </c>
      <c r="B7" s="2">
        <v>2.508</v>
      </c>
      <c r="C7" s="1" t="s">
        <v>3</v>
      </c>
      <c r="E7" s="2">
        <v>2.508</v>
      </c>
      <c r="F7" s="2">
        <v>2.504</v>
      </c>
      <c r="G7" s="2">
        <v>2.4580000000000002</v>
      </c>
      <c r="H7" s="2">
        <v>2.4620000000000002</v>
      </c>
      <c r="I7" s="2">
        <v>2.4860000000000002</v>
      </c>
      <c r="J7" s="2">
        <v>2.4870000000000001</v>
      </c>
      <c r="K7" s="2">
        <v>2.4849999999999999</v>
      </c>
      <c r="L7" s="2">
        <v>2.5019999999999998</v>
      </c>
      <c r="M7" s="2">
        <v>2.4809999999999999</v>
      </c>
      <c r="O7" s="2">
        <v>2.5009999999999999</v>
      </c>
      <c r="P7" s="2">
        <v>2.4940000000000002</v>
      </c>
      <c r="Q7" s="2">
        <v>2.5209999999999999</v>
      </c>
      <c r="R7" s="2">
        <v>2.4510000000000001</v>
      </c>
      <c r="S7" s="2">
        <v>2.488</v>
      </c>
      <c r="U7" s="2">
        <v>2.4849999999999999</v>
      </c>
      <c r="V7" s="2">
        <v>2.456</v>
      </c>
      <c r="W7" s="2">
        <v>2.484</v>
      </c>
      <c r="X7" s="2">
        <v>2.4950000000000001</v>
      </c>
      <c r="Y7" s="2">
        <v>2.4860000000000002</v>
      </c>
      <c r="AB7" s="2">
        <v>2.4769999999999999</v>
      </c>
      <c r="AC7" s="2">
        <v>2.4969999999999999</v>
      </c>
      <c r="AD7" s="2">
        <v>2.488</v>
      </c>
      <c r="AE7" s="2">
        <v>2.4900000000000002</v>
      </c>
      <c r="AF7" s="2">
        <v>2.4980000000000002</v>
      </c>
      <c r="AG7" s="2">
        <v>2.484</v>
      </c>
      <c r="AH7" s="2">
        <v>2.5110000000000001</v>
      </c>
      <c r="AI7" s="2">
        <v>2.5070000000000001</v>
      </c>
      <c r="AJ7" s="2">
        <v>2.5099999999999998</v>
      </c>
      <c r="AK7" s="2">
        <v>2.5009999999999999</v>
      </c>
      <c r="AL7" s="2">
        <v>2.4470000000000001</v>
      </c>
      <c r="AM7" s="2">
        <v>2.4900000000000002</v>
      </c>
    </row>
    <row r="8" spans="1:39" x14ac:dyDescent="0.3">
      <c r="A8" s="1">
        <v>1983</v>
      </c>
      <c r="B8" s="2">
        <v>2.4990000000000001</v>
      </c>
      <c r="C8" s="1" t="s">
        <v>3</v>
      </c>
      <c r="E8" s="2">
        <v>2.4990000000000001</v>
      </c>
      <c r="F8" s="2">
        <v>2.5030000000000001</v>
      </c>
      <c r="J8" s="2">
        <v>2.4790000000000001</v>
      </c>
      <c r="K8" s="2">
        <v>2.4670000000000001</v>
      </c>
      <c r="L8" s="2">
        <v>2.4990000000000001</v>
      </c>
      <c r="M8" s="2">
        <v>2.4769999999999999</v>
      </c>
      <c r="O8" s="2">
        <v>2.4950000000000001</v>
      </c>
      <c r="P8" s="2">
        <v>2.4929999999999999</v>
      </c>
      <c r="Q8" s="2">
        <v>2.496</v>
      </c>
      <c r="R8" s="2">
        <v>2.403</v>
      </c>
      <c r="S8" s="2">
        <v>2.4769999999999999</v>
      </c>
      <c r="W8" s="2">
        <v>2.4569999999999999</v>
      </c>
      <c r="X8" s="2">
        <v>2.4929999999999999</v>
      </c>
      <c r="Y8" s="2">
        <v>2.4660000000000002</v>
      </c>
      <c r="AB8" s="2">
        <v>2.4700000000000002</v>
      </c>
      <c r="AC8" s="2">
        <v>2.492</v>
      </c>
      <c r="AD8" s="2">
        <v>2.4830000000000001</v>
      </c>
      <c r="AE8" s="2">
        <v>2.4390000000000001</v>
      </c>
      <c r="AF8" s="2">
        <v>2.4980000000000002</v>
      </c>
      <c r="AH8" s="2">
        <v>2.5049999999999999</v>
      </c>
      <c r="AI8" s="2">
        <v>2.4929999999999999</v>
      </c>
      <c r="AJ8" s="2">
        <v>2.504</v>
      </c>
      <c r="AK8" s="2">
        <v>2.484</v>
      </c>
      <c r="AM8" s="2">
        <v>2.488</v>
      </c>
    </row>
    <row r="9" spans="1:39" x14ac:dyDescent="0.3">
      <c r="A9" s="1">
        <v>1983</v>
      </c>
      <c r="B9" s="2">
        <v>2.4969999999999999</v>
      </c>
      <c r="C9" s="1" t="s">
        <v>3</v>
      </c>
      <c r="E9" s="2">
        <v>2.4969999999999999</v>
      </c>
      <c r="F9" s="2">
        <v>2.492</v>
      </c>
      <c r="J9" s="2">
        <v>2.4689999999999999</v>
      </c>
      <c r="K9" s="2">
        <v>2.4620000000000002</v>
      </c>
      <c r="L9" s="2">
        <v>2.4969999999999999</v>
      </c>
      <c r="M9" s="2">
        <v>2.4740000000000002</v>
      </c>
      <c r="O9" s="2">
        <v>2.4940000000000002</v>
      </c>
      <c r="P9" s="2">
        <v>2.464</v>
      </c>
      <c r="Q9" s="2">
        <v>2.4809999999999999</v>
      </c>
      <c r="S9" s="2">
        <v>2.4620000000000002</v>
      </c>
      <c r="X9" s="2">
        <v>2.4860000000000002</v>
      </c>
      <c r="Y9" s="2">
        <v>2.4620000000000002</v>
      </c>
      <c r="AB9" s="2">
        <v>2.4689999999999999</v>
      </c>
      <c r="AD9" s="2">
        <v>2.444</v>
      </c>
      <c r="AF9" s="2">
        <v>2.4929999999999999</v>
      </c>
      <c r="AH9" s="2">
        <v>2.5030000000000001</v>
      </c>
      <c r="AI9" s="2">
        <v>2.4929999999999999</v>
      </c>
      <c r="AJ9" s="2">
        <v>2.476</v>
      </c>
      <c r="AK9" s="2">
        <v>2.4809999999999999</v>
      </c>
      <c r="AM9" s="2">
        <v>2.4769999999999999</v>
      </c>
    </row>
    <row r="10" spans="1:39" x14ac:dyDescent="0.3">
      <c r="A10" s="1">
        <v>1983</v>
      </c>
      <c r="B10" s="2">
        <v>2.4830000000000001</v>
      </c>
      <c r="C10" s="1" t="s">
        <v>3</v>
      </c>
      <c r="E10" s="2">
        <v>2.4830000000000001</v>
      </c>
      <c r="J10" s="2">
        <v>2.4689999999999999</v>
      </c>
      <c r="K10" s="2">
        <v>2.444</v>
      </c>
      <c r="L10" s="2">
        <v>2.4860000000000002</v>
      </c>
      <c r="M10" s="2">
        <v>2.4729999999999999</v>
      </c>
      <c r="O10" s="2">
        <v>2.4900000000000002</v>
      </c>
      <c r="Q10" s="2">
        <v>2.4750000000000001</v>
      </c>
      <c r="S10" s="2">
        <v>2.46</v>
      </c>
      <c r="X10" s="2">
        <v>2.484</v>
      </c>
      <c r="AF10" s="2">
        <v>2.476</v>
      </c>
      <c r="AH10" s="2">
        <v>2.4849999999999999</v>
      </c>
      <c r="AJ10" s="2">
        <v>2.4710000000000001</v>
      </c>
      <c r="AK10" s="2">
        <v>2.4780000000000002</v>
      </c>
      <c r="AM10" s="2">
        <v>2.4750000000000001</v>
      </c>
    </row>
    <row r="11" spans="1:39" x14ac:dyDescent="0.3">
      <c r="A11" s="1">
        <v>1983</v>
      </c>
      <c r="B11" s="2">
        <v>2.4820000000000002</v>
      </c>
      <c r="C11" s="1" t="s">
        <v>3</v>
      </c>
      <c r="E11" s="2">
        <v>2.4820000000000002</v>
      </c>
      <c r="L11" s="2">
        <v>2.484</v>
      </c>
      <c r="M11" s="2">
        <v>2.4710000000000001</v>
      </c>
      <c r="O11" s="2">
        <v>2.4900000000000002</v>
      </c>
      <c r="Q11" s="2">
        <v>2.4580000000000002</v>
      </c>
      <c r="S11" s="2">
        <v>2.4569999999999999</v>
      </c>
      <c r="X11" s="2">
        <v>2.4569999999999999</v>
      </c>
      <c r="AF11" s="2">
        <v>2.4689999999999999</v>
      </c>
      <c r="AH11" s="2">
        <v>2.48</v>
      </c>
      <c r="AJ11" s="2">
        <v>2.456</v>
      </c>
      <c r="AM11" s="2">
        <v>2.4740000000000002</v>
      </c>
    </row>
    <row r="12" spans="1:39" x14ac:dyDescent="0.3">
      <c r="A12" s="1">
        <v>1983</v>
      </c>
      <c r="B12" s="2">
        <v>2.4780000000000002</v>
      </c>
      <c r="C12" s="1" t="s">
        <v>3</v>
      </c>
      <c r="E12" s="2">
        <v>2.4780000000000002</v>
      </c>
      <c r="L12" s="2">
        <v>2.472</v>
      </c>
      <c r="Q12" s="2">
        <v>2.4540000000000002</v>
      </c>
      <c r="AF12" s="2">
        <v>2.4630000000000001</v>
      </c>
      <c r="AH12" s="2">
        <v>2.4620000000000002</v>
      </c>
      <c r="AM12" s="2">
        <v>2.4660000000000002</v>
      </c>
    </row>
    <row r="13" spans="1:39" x14ac:dyDescent="0.3">
      <c r="A13" s="1">
        <v>1983</v>
      </c>
      <c r="B13" s="2">
        <v>2.448</v>
      </c>
      <c r="C13" s="1" t="s">
        <v>3</v>
      </c>
      <c r="E13" s="2">
        <v>2.448</v>
      </c>
      <c r="AH13" s="2">
        <v>2.4620000000000002</v>
      </c>
      <c r="AM13" s="2">
        <v>2.4359999999999999</v>
      </c>
    </row>
    <row r="14" spans="1:39" x14ac:dyDescent="0.3">
      <c r="A14" s="1">
        <v>1984</v>
      </c>
      <c r="B14" s="2">
        <v>2.5449999999999999</v>
      </c>
      <c r="C14" s="1" t="s">
        <v>3</v>
      </c>
      <c r="AH14" s="2">
        <v>2.4609999999999999</v>
      </c>
    </row>
    <row r="15" spans="1:39" x14ac:dyDescent="0.3">
      <c r="A15" s="1">
        <v>1984</v>
      </c>
      <c r="B15" s="2">
        <v>2.5270000000000001</v>
      </c>
      <c r="C15" s="1" t="s">
        <v>4</v>
      </c>
    </row>
    <row r="16" spans="1:39" x14ac:dyDescent="0.3">
      <c r="A16" s="1">
        <v>1984</v>
      </c>
      <c r="B16" s="2">
        <v>2.5249999999999999</v>
      </c>
      <c r="C16" s="1" t="s">
        <v>4</v>
      </c>
    </row>
    <row r="17" spans="1:39" x14ac:dyDescent="0.3">
      <c r="A17" s="1">
        <v>1984</v>
      </c>
      <c r="B17" s="2">
        <v>2.524</v>
      </c>
      <c r="C17" s="1" t="s">
        <v>4</v>
      </c>
      <c r="D17" t="s">
        <v>6</v>
      </c>
      <c r="E17" s="5">
        <f>AVERAGE(E2:E14)</f>
        <v>2.5028333333333332</v>
      </c>
      <c r="F17" s="5">
        <f t="shared" ref="F17:AL17" si="0">AVERAGE(F2:F14)</f>
        <v>2.5168750000000002</v>
      </c>
      <c r="G17" s="5">
        <f t="shared" si="0"/>
        <v>2.5026666666666668</v>
      </c>
      <c r="H17" s="5">
        <f t="shared" si="0"/>
        <v>2.512</v>
      </c>
      <c r="I17" s="5">
        <f t="shared" si="0"/>
        <v>2.5078333333333336</v>
      </c>
      <c r="J17" s="5">
        <f t="shared" si="0"/>
        <v>2.4941111111111116</v>
      </c>
      <c r="K17" s="5">
        <f t="shared" si="0"/>
        <v>2.4931111111111104</v>
      </c>
      <c r="L17" s="5">
        <f t="shared" si="0"/>
        <v>2.5078181818181817</v>
      </c>
      <c r="M17" s="5">
        <f t="shared" si="0"/>
        <v>2.4924999999999997</v>
      </c>
      <c r="N17" s="5">
        <f t="shared" si="0"/>
        <v>2.4699999999999998</v>
      </c>
      <c r="O17" s="5">
        <f>AVERAGE(O2:O14)</f>
        <v>2.5106999999999999</v>
      </c>
      <c r="P17" s="5">
        <f t="shared" si="0"/>
        <v>2.5146249999999997</v>
      </c>
      <c r="Q17" s="5">
        <f t="shared" si="0"/>
        <v>2.505363636363636</v>
      </c>
      <c r="R17" s="5">
        <f t="shared" si="0"/>
        <v>2.4675714285714285</v>
      </c>
      <c r="S17" s="5">
        <f t="shared" si="0"/>
        <v>2.4931999999999999</v>
      </c>
      <c r="T17" s="5">
        <f t="shared" si="0"/>
        <v>2.4930000000000003</v>
      </c>
      <c r="U17" s="5">
        <f t="shared" si="0"/>
        <v>2.5059999999999998</v>
      </c>
      <c r="V17" s="5">
        <f t="shared" si="0"/>
        <v>2.4875000000000003</v>
      </c>
      <c r="W17" s="5">
        <f t="shared" si="0"/>
        <v>2.5068571428571427</v>
      </c>
      <c r="X17" s="5">
        <f t="shared" si="0"/>
        <v>2.5011000000000001</v>
      </c>
      <c r="Y17" s="5">
        <f t="shared" si="0"/>
        <v>2.496</v>
      </c>
      <c r="Z17" s="5">
        <f t="shared" si="0"/>
        <v>2.4932499999999997</v>
      </c>
      <c r="AA17" s="5">
        <f t="shared" si="0"/>
        <v>2.5002</v>
      </c>
      <c r="AB17" s="5">
        <f t="shared" si="0"/>
        <v>2.500375</v>
      </c>
      <c r="AC17" s="5">
        <f t="shared" si="0"/>
        <v>2.5165714285714285</v>
      </c>
      <c r="AD17" s="5">
        <f t="shared" si="0"/>
        <v>2.5037499999999997</v>
      </c>
      <c r="AE17" s="5">
        <f t="shared" si="0"/>
        <v>2.4994285714285711</v>
      </c>
      <c r="AF17" s="5">
        <f t="shared" si="0"/>
        <v>2.4967272727272731</v>
      </c>
      <c r="AG17" s="5">
        <f t="shared" si="0"/>
        <v>2.4993333333333334</v>
      </c>
      <c r="AH17" s="5">
        <f t="shared" si="0"/>
        <v>2.5012307692307689</v>
      </c>
      <c r="AI17" s="5">
        <f t="shared" si="0"/>
        <v>2.5171249999999996</v>
      </c>
      <c r="AJ17" s="5">
        <f t="shared" si="0"/>
        <v>2.5053999999999998</v>
      </c>
      <c r="AK17" s="5">
        <f t="shared" si="0"/>
        <v>2.5054444444444446</v>
      </c>
      <c r="AL17" s="5">
        <f t="shared" si="0"/>
        <v>2.4893333333333332</v>
      </c>
      <c r="AM17" s="5">
        <f>AVERAGE(AM2:AM14)</f>
        <v>2.4880833333333334</v>
      </c>
    </row>
    <row r="18" spans="1:39" x14ac:dyDescent="0.3">
      <c r="A18" s="1">
        <v>1984</v>
      </c>
      <c r="B18" s="2">
        <v>2.5150000000000001</v>
      </c>
      <c r="C18" s="1" t="s">
        <v>4</v>
      </c>
      <c r="D18" t="s">
        <v>7</v>
      </c>
      <c r="E18">
        <f>STDEVA(E2:E14)</f>
        <v>2.8338323981149716E-2</v>
      </c>
      <c r="F18">
        <f t="shared" ref="F18:AM18" si="1">STDEVA(F2:F14)</f>
        <v>1.6864480848390009E-2</v>
      </c>
      <c r="G18">
        <f t="shared" si="1"/>
        <v>3.0500273222819823E-2</v>
      </c>
      <c r="H18">
        <f t="shared" si="1"/>
        <v>4.0194526990623911E-2</v>
      </c>
      <c r="I18">
        <f t="shared" si="1"/>
        <v>1.5012217246851468E-2</v>
      </c>
      <c r="J18">
        <f t="shared" si="1"/>
        <v>2.2200475470383837E-2</v>
      </c>
      <c r="K18">
        <f t="shared" si="1"/>
        <v>3.3605968385260192E-2</v>
      </c>
      <c r="L18">
        <f t="shared" si="1"/>
        <v>2.4571602234360619E-2</v>
      </c>
      <c r="M18">
        <f t="shared" si="1"/>
        <v>2.085532172958364E-2</v>
      </c>
      <c r="N18">
        <f t="shared" si="1"/>
        <v>1.4142135623730963E-2</v>
      </c>
      <c r="O18">
        <f t="shared" si="1"/>
        <v>2.0870233986869005E-2</v>
      </c>
      <c r="P18">
        <f t="shared" si="1"/>
        <v>2.898244542575976E-2</v>
      </c>
      <c r="Q18">
        <f t="shared" si="1"/>
        <v>3.3634127689811451E-2</v>
      </c>
      <c r="R18">
        <f t="shared" si="1"/>
        <v>3.1957561144206781E-2</v>
      </c>
      <c r="S18">
        <f t="shared" si="1"/>
        <v>3.2313739767748574E-2</v>
      </c>
      <c r="T18">
        <f t="shared" si="1"/>
        <v>1.5165750888103041E-2</v>
      </c>
      <c r="U18">
        <f t="shared" si="1"/>
        <v>1.6994116628998381E-2</v>
      </c>
      <c r="V18">
        <f t="shared" si="1"/>
        <v>2.7976776083029998E-2</v>
      </c>
      <c r="W18">
        <f t="shared" si="1"/>
        <v>3.2349284234372076E-2</v>
      </c>
      <c r="X18">
        <f t="shared" si="1"/>
        <v>2.3581772622090973E-2</v>
      </c>
      <c r="Y18">
        <f t="shared" si="1"/>
        <v>2.8208408067707077E-2</v>
      </c>
      <c r="Z18">
        <f t="shared" si="1"/>
        <v>1.1146748404803916E-2</v>
      </c>
      <c r="AA18">
        <f t="shared" si="1"/>
        <v>1.0940749517286305E-2</v>
      </c>
      <c r="AB18">
        <f t="shared" si="1"/>
        <v>2.4301308018881817E-2</v>
      </c>
      <c r="AC18">
        <f t="shared" si="1"/>
        <v>2.1141248330039133E-2</v>
      </c>
      <c r="AD18">
        <f t="shared" si="1"/>
        <v>3.7430888695987811E-2</v>
      </c>
      <c r="AE18">
        <f t="shared" si="1"/>
        <v>3.056608765095253E-2</v>
      </c>
      <c r="AF18">
        <f t="shared" si="1"/>
        <v>2.1849901185547336E-2</v>
      </c>
      <c r="AG18">
        <f t="shared" si="1"/>
        <v>1.574378184130688E-2</v>
      </c>
      <c r="AH18">
        <f t="shared" si="1"/>
        <v>2.8758053498553079E-2</v>
      </c>
      <c r="AI18">
        <f t="shared" si="1"/>
        <v>2.1330310425709775E-2</v>
      </c>
      <c r="AJ18">
        <f t="shared" si="1"/>
        <v>3.1312759202741777E-2</v>
      </c>
      <c r="AK18">
        <f t="shared" si="1"/>
        <v>2.1926645383591566E-2</v>
      </c>
      <c r="AL18">
        <f t="shared" si="1"/>
        <v>3.3797435800170778E-2</v>
      </c>
      <c r="AM18">
        <f t="shared" si="1"/>
        <v>2.4963458142337622E-2</v>
      </c>
    </row>
    <row r="19" spans="1:39" x14ac:dyDescent="0.3">
      <c r="A19" s="1">
        <v>1984</v>
      </c>
      <c r="B19" s="2">
        <v>2.504</v>
      </c>
      <c r="C19" s="1" t="s">
        <v>4</v>
      </c>
      <c r="D19" t="s">
        <v>8</v>
      </c>
      <c r="E19">
        <f>COUNT(E2:E14)</f>
        <v>12</v>
      </c>
      <c r="F19">
        <f t="shared" ref="F19:AL19" si="2">COUNT(F2:F14)</f>
        <v>8</v>
      </c>
      <c r="G19">
        <f t="shared" si="2"/>
        <v>6</v>
      </c>
      <c r="H19">
        <f t="shared" si="2"/>
        <v>6</v>
      </c>
      <c r="I19">
        <f t="shared" si="2"/>
        <v>6</v>
      </c>
      <c r="J19">
        <f t="shared" si="2"/>
        <v>9</v>
      </c>
      <c r="K19">
        <f t="shared" si="2"/>
        <v>9</v>
      </c>
      <c r="L19">
        <f t="shared" si="2"/>
        <v>11</v>
      </c>
      <c r="M19">
        <f t="shared" si="2"/>
        <v>10</v>
      </c>
      <c r="N19">
        <f t="shared" si="2"/>
        <v>2</v>
      </c>
      <c r="O19">
        <f t="shared" si="2"/>
        <v>10</v>
      </c>
      <c r="P19">
        <f t="shared" si="2"/>
        <v>8</v>
      </c>
      <c r="Q19">
        <f t="shared" si="2"/>
        <v>11</v>
      </c>
      <c r="R19">
        <f t="shared" si="2"/>
        <v>7</v>
      </c>
      <c r="S19">
        <f t="shared" si="2"/>
        <v>10</v>
      </c>
      <c r="T19">
        <f t="shared" si="2"/>
        <v>5</v>
      </c>
      <c r="U19">
        <f t="shared" si="2"/>
        <v>6</v>
      </c>
      <c r="V19">
        <f t="shared" si="2"/>
        <v>6</v>
      </c>
      <c r="W19">
        <f t="shared" si="2"/>
        <v>7</v>
      </c>
      <c r="X19">
        <f t="shared" si="2"/>
        <v>10</v>
      </c>
      <c r="Y19">
        <f t="shared" si="2"/>
        <v>8</v>
      </c>
      <c r="Z19">
        <f t="shared" si="2"/>
        <v>4</v>
      </c>
      <c r="AA19">
        <f t="shared" si="2"/>
        <v>5</v>
      </c>
      <c r="AB19">
        <f t="shared" si="2"/>
        <v>8</v>
      </c>
      <c r="AC19">
        <f t="shared" si="2"/>
        <v>7</v>
      </c>
      <c r="AD19">
        <f t="shared" si="2"/>
        <v>8</v>
      </c>
      <c r="AE19">
        <f t="shared" si="2"/>
        <v>7</v>
      </c>
      <c r="AF19">
        <f t="shared" si="2"/>
        <v>11</v>
      </c>
      <c r="AG19">
        <f t="shared" si="2"/>
        <v>6</v>
      </c>
      <c r="AH19">
        <f t="shared" si="2"/>
        <v>13</v>
      </c>
      <c r="AI19">
        <f t="shared" si="2"/>
        <v>8</v>
      </c>
      <c r="AJ19">
        <f t="shared" si="2"/>
        <v>10</v>
      </c>
      <c r="AK19">
        <f t="shared" si="2"/>
        <v>9</v>
      </c>
      <c r="AL19">
        <f t="shared" si="2"/>
        <v>6</v>
      </c>
      <c r="AM19">
        <f>COUNT(AM2:AM14)</f>
        <v>12</v>
      </c>
    </row>
    <row r="20" spans="1:39" x14ac:dyDescent="0.3">
      <c r="A20" s="1">
        <v>1984</v>
      </c>
      <c r="B20" s="2">
        <v>2.5030000000000001</v>
      </c>
      <c r="C20" s="1" t="s">
        <v>3</v>
      </c>
    </row>
    <row r="21" spans="1:39" x14ac:dyDescent="0.3">
      <c r="A21" s="1">
        <v>1984</v>
      </c>
      <c r="B21" s="2">
        <v>2.492</v>
      </c>
      <c r="C21" s="1" t="s">
        <v>4</v>
      </c>
      <c r="D21" cm="1">
        <f t="array" ref="D21">MAX(_xlfn._xlws.FILTER(E17:AM17, E19:AM19&gt;9))</f>
        <v>2.5106999999999999</v>
      </c>
      <c r="O21" t="s">
        <v>9</v>
      </c>
      <c r="AM21" t="s">
        <v>10</v>
      </c>
    </row>
    <row r="22" spans="1:39" x14ac:dyDescent="0.3">
      <c r="A22" s="1">
        <v>1985</v>
      </c>
      <c r="B22" s="2">
        <v>2.5449999999999999</v>
      </c>
      <c r="C22" s="1" t="s">
        <v>4</v>
      </c>
      <c r="D22" t="s">
        <v>13</v>
      </c>
      <c r="E22" t="s">
        <v>11</v>
      </c>
      <c r="O22">
        <f>O17+((O18*2.228)/SQRT(O19))</f>
        <v>2.5254042373629733</v>
      </c>
      <c r="AM22">
        <f>AM17+((AM18*2.228)/(SQRT(AM19)))</f>
        <v>2.5041390357694517</v>
      </c>
    </row>
    <row r="23" spans="1:39" x14ac:dyDescent="0.3">
      <c r="A23" s="1">
        <v>1985</v>
      </c>
      <c r="B23" s="2">
        <v>2.5179999999999998</v>
      </c>
      <c r="C23" s="1" t="s">
        <v>3</v>
      </c>
      <c r="O23" s="5">
        <f>AVERAGE(O2:O14)</f>
        <v>2.5106999999999999</v>
      </c>
      <c r="AM23" s="5">
        <f>AVERAGE(AM2:AM14)</f>
        <v>2.4880833333333334</v>
      </c>
    </row>
    <row r="24" spans="1:39" x14ac:dyDescent="0.3">
      <c r="A24" s="1">
        <v>1985</v>
      </c>
      <c r="B24" s="2">
        <v>2.5169999999999999</v>
      </c>
      <c r="C24" s="1" t="s">
        <v>3</v>
      </c>
      <c r="E24" t="s">
        <v>12</v>
      </c>
      <c r="O24">
        <f>O17-((O18*2.228)/SQRT(O19))</f>
        <v>2.4959957626370266</v>
      </c>
      <c r="AM24">
        <f>AM17-((AM18*2.228)/(SQRT(AM19)))</f>
        <v>2.4720276308972151</v>
      </c>
    </row>
    <row r="25" spans="1:39" x14ac:dyDescent="0.3">
      <c r="A25" s="1">
        <v>1985</v>
      </c>
      <c r="B25" s="2">
        <v>2.4940000000000002</v>
      </c>
      <c r="C25" s="1" t="s">
        <v>3</v>
      </c>
    </row>
    <row r="26" spans="1:39" x14ac:dyDescent="0.3">
      <c r="A26" s="1">
        <v>1985</v>
      </c>
      <c r="B26" s="2">
        <v>2.484</v>
      </c>
      <c r="C26" s="1" t="s">
        <v>3</v>
      </c>
      <c r="D26" t="s">
        <v>15</v>
      </c>
      <c r="E26">
        <f>((O18)^2/(AM18)^2)</f>
        <v>0.69894844333142148</v>
      </c>
    </row>
    <row r="27" spans="1:39" x14ac:dyDescent="0.3">
      <c r="A27" s="1">
        <v>1985</v>
      </c>
      <c r="B27" s="2">
        <v>2.4580000000000002</v>
      </c>
      <c r="C27" s="1" t="s">
        <v>3</v>
      </c>
      <c r="D27" t="s">
        <v>23</v>
      </c>
      <c r="E27">
        <v>3.14</v>
      </c>
    </row>
    <row r="28" spans="1:39" x14ac:dyDescent="0.3">
      <c r="A28" s="1">
        <v>1986</v>
      </c>
      <c r="B28" s="2">
        <v>2.5590000000000002</v>
      </c>
      <c r="C28" s="1" t="s">
        <v>3</v>
      </c>
    </row>
    <row r="29" spans="1:39" x14ac:dyDescent="0.3">
      <c r="A29" s="1">
        <v>1986</v>
      </c>
      <c r="B29" s="2">
        <v>2.5379999999999998</v>
      </c>
      <c r="C29" s="1" t="s">
        <v>3</v>
      </c>
      <c r="D29" t="s">
        <v>16</v>
      </c>
    </row>
    <row r="30" spans="1:39" x14ac:dyDescent="0.3">
      <c r="A30" s="1">
        <v>1986</v>
      </c>
      <c r="B30" s="2">
        <v>2.536</v>
      </c>
      <c r="C30" s="1" t="s">
        <v>4</v>
      </c>
      <c r="D30" t="s">
        <v>24</v>
      </c>
      <c r="E30">
        <f>SQRT(((AM18^2)*(AM19-1)+(O18^2)*(O19-1))/(AM19+O19-2))</f>
        <v>2.321100672813076E-2</v>
      </c>
    </row>
    <row r="31" spans="1:39" x14ac:dyDescent="0.3">
      <c r="A31" s="1">
        <v>1986</v>
      </c>
      <c r="B31" s="2">
        <v>2.5110000000000001</v>
      </c>
      <c r="C31" s="1" t="s">
        <v>4</v>
      </c>
      <c r="D31" t="s">
        <v>17</v>
      </c>
      <c r="E31">
        <f>((ABS(AM17-O17)/E30)*(SQRT((AM19*O19)/(AM19+O19))))</f>
        <v>2.2756941988794459</v>
      </c>
    </row>
    <row r="32" spans="1:39" x14ac:dyDescent="0.3">
      <c r="A32" s="1">
        <v>1986</v>
      </c>
      <c r="B32" s="2">
        <v>2.4660000000000002</v>
      </c>
      <c r="C32" s="1" t="s">
        <v>4</v>
      </c>
      <c r="D32" t="s">
        <v>25</v>
      </c>
      <c r="E32">
        <v>2.0859999999999999</v>
      </c>
    </row>
    <row r="33" spans="1:4" x14ac:dyDescent="0.3">
      <c r="A33" s="1">
        <v>1986</v>
      </c>
      <c r="B33" s="2">
        <v>2.4620000000000002</v>
      </c>
      <c r="C33" s="1" t="s">
        <v>4</v>
      </c>
      <c r="D33" t="s">
        <v>26</v>
      </c>
    </row>
    <row r="34" spans="1:4" x14ac:dyDescent="0.3">
      <c r="A34" s="1">
        <v>1987</v>
      </c>
      <c r="B34" s="2">
        <v>2.5249999999999999</v>
      </c>
      <c r="C34" s="1" t="s">
        <v>4</v>
      </c>
    </row>
    <row r="35" spans="1:4" x14ac:dyDescent="0.3">
      <c r="A35" s="1">
        <v>1987</v>
      </c>
      <c r="B35" s="2">
        <v>2.52</v>
      </c>
      <c r="C35" s="1" t="s">
        <v>3</v>
      </c>
    </row>
    <row r="36" spans="1:4" x14ac:dyDescent="0.3">
      <c r="A36" s="1">
        <v>1987</v>
      </c>
      <c r="B36" s="2">
        <v>2.516</v>
      </c>
      <c r="C36" s="1" t="s">
        <v>3</v>
      </c>
    </row>
    <row r="37" spans="1:4" x14ac:dyDescent="0.3">
      <c r="A37" s="1">
        <v>1987</v>
      </c>
      <c r="B37" s="2">
        <v>2.5030000000000001</v>
      </c>
      <c r="C37" s="1" t="s">
        <v>3</v>
      </c>
    </row>
    <row r="38" spans="1:4" x14ac:dyDescent="0.3">
      <c r="A38" s="1">
        <v>1987</v>
      </c>
      <c r="B38" s="2">
        <v>2.4969999999999999</v>
      </c>
      <c r="C38" s="1" t="s">
        <v>3</v>
      </c>
    </row>
    <row r="39" spans="1:4" x14ac:dyDescent="0.3">
      <c r="A39" s="1">
        <v>1987</v>
      </c>
      <c r="B39" s="2">
        <v>2.4860000000000002</v>
      </c>
      <c r="C39" s="1" t="s">
        <v>4</v>
      </c>
    </row>
    <row r="40" spans="1:4" x14ac:dyDescent="0.3">
      <c r="A40" s="1">
        <v>1988</v>
      </c>
      <c r="B40" s="2">
        <v>2.5230000000000001</v>
      </c>
      <c r="C40" s="1" t="s">
        <v>4</v>
      </c>
    </row>
    <row r="41" spans="1:4" x14ac:dyDescent="0.3">
      <c r="A41" s="1">
        <v>1988</v>
      </c>
      <c r="B41" s="2">
        <v>2.5230000000000001</v>
      </c>
      <c r="C41" s="1" t="s">
        <v>3</v>
      </c>
    </row>
    <row r="42" spans="1:4" x14ac:dyDescent="0.3">
      <c r="A42" s="1">
        <v>1988</v>
      </c>
      <c r="B42" s="2">
        <v>2.52</v>
      </c>
      <c r="C42" s="1" t="s">
        <v>4</v>
      </c>
    </row>
    <row r="43" spans="1:4" x14ac:dyDescent="0.3">
      <c r="A43" s="1">
        <v>1988</v>
      </c>
      <c r="B43" s="2">
        <v>2.4889999999999999</v>
      </c>
      <c r="C43" s="1" t="s">
        <v>3</v>
      </c>
    </row>
    <row r="44" spans="1:4" x14ac:dyDescent="0.3">
      <c r="A44" s="1">
        <v>1988</v>
      </c>
      <c r="B44" s="2">
        <v>2.488</v>
      </c>
      <c r="C44" s="1" t="s">
        <v>3</v>
      </c>
    </row>
    <row r="45" spans="1:4" x14ac:dyDescent="0.3">
      <c r="A45" s="1">
        <v>1988</v>
      </c>
      <c r="B45" s="2">
        <v>2.4870000000000001</v>
      </c>
      <c r="C45" s="1" t="s">
        <v>4</v>
      </c>
    </row>
    <row r="46" spans="1:4" x14ac:dyDescent="0.3">
      <c r="A46" s="1">
        <v>1988</v>
      </c>
      <c r="B46" s="2">
        <v>2.4790000000000001</v>
      </c>
      <c r="C46" s="1" t="s">
        <v>3</v>
      </c>
    </row>
    <row r="47" spans="1:4" x14ac:dyDescent="0.3">
      <c r="A47" s="1">
        <v>1988</v>
      </c>
      <c r="B47" s="2">
        <v>2.4689999999999999</v>
      </c>
      <c r="C47" s="1" t="s">
        <v>4</v>
      </c>
    </row>
    <row r="48" spans="1:4" x14ac:dyDescent="0.3">
      <c r="A48" s="1">
        <v>1988</v>
      </c>
      <c r="B48" s="2">
        <v>2.4689999999999999</v>
      </c>
      <c r="C48" s="1" t="s">
        <v>4</v>
      </c>
    </row>
    <row r="49" spans="1:3" x14ac:dyDescent="0.3">
      <c r="A49" s="1">
        <v>1989</v>
      </c>
      <c r="B49" s="2">
        <v>2.5539999999999998</v>
      </c>
      <c r="C49" s="1" t="s">
        <v>4</v>
      </c>
    </row>
    <row r="50" spans="1:3" x14ac:dyDescent="0.3">
      <c r="A50" s="1">
        <v>1989</v>
      </c>
      <c r="B50" s="2">
        <v>2.5209999999999999</v>
      </c>
      <c r="C50" s="1" t="s">
        <v>4</v>
      </c>
    </row>
    <row r="51" spans="1:3" x14ac:dyDescent="0.3">
      <c r="A51" s="1">
        <v>1989</v>
      </c>
      <c r="B51" s="2">
        <v>2.5110000000000001</v>
      </c>
      <c r="C51" s="1" t="s">
        <v>4</v>
      </c>
    </row>
    <row r="52" spans="1:3" x14ac:dyDescent="0.3">
      <c r="A52" s="1">
        <v>1989</v>
      </c>
      <c r="B52" s="2">
        <v>2.5030000000000001</v>
      </c>
      <c r="C52" s="1" t="s">
        <v>3</v>
      </c>
    </row>
    <row r="53" spans="1:3" x14ac:dyDescent="0.3">
      <c r="A53" s="1">
        <v>1989</v>
      </c>
      <c r="B53" s="2">
        <v>2.4910000000000001</v>
      </c>
      <c r="C53" s="1" t="s">
        <v>4</v>
      </c>
    </row>
    <row r="54" spans="1:3" x14ac:dyDescent="0.3">
      <c r="A54" s="1">
        <v>1989</v>
      </c>
      <c r="B54" s="2">
        <v>2.4849999999999999</v>
      </c>
      <c r="C54" s="1" t="s">
        <v>4</v>
      </c>
    </row>
    <row r="55" spans="1:3" x14ac:dyDescent="0.3">
      <c r="A55" s="1">
        <v>1989</v>
      </c>
      <c r="B55" s="2">
        <v>2.4670000000000001</v>
      </c>
      <c r="C55" s="1" t="s">
        <v>4</v>
      </c>
    </row>
    <row r="56" spans="1:3" x14ac:dyDescent="0.3">
      <c r="A56" s="1">
        <v>1989</v>
      </c>
      <c r="B56" s="2">
        <v>2.4620000000000002</v>
      </c>
      <c r="C56" s="1" t="s">
        <v>4</v>
      </c>
    </row>
    <row r="57" spans="1:3" x14ac:dyDescent="0.3">
      <c r="A57" s="1">
        <v>1989</v>
      </c>
      <c r="B57" s="2">
        <v>2.444</v>
      </c>
      <c r="C57" s="1" t="s">
        <v>3</v>
      </c>
    </row>
    <row r="58" spans="1:3" x14ac:dyDescent="0.3">
      <c r="A58" s="1">
        <v>1990</v>
      </c>
      <c r="B58" s="2">
        <v>2.5569999999999999</v>
      </c>
      <c r="C58" s="1" t="s">
        <v>4</v>
      </c>
    </row>
    <row r="59" spans="1:3" x14ac:dyDescent="0.3">
      <c r="A59" s="1">
        <v>1990</v>
      </c>
      <c r="B59" s="2">
        <v>2.5350000000000001</v>
      </c>
      <c r="C59" s="1" t="s">
        <v>4</v>
      </c>
    </row>
    <row r="60" spans="1:3" x14ac:dyDescent="0.3">
      <c r="A60" s="1">
        <v>1990</v>
      </c>
      <c r="B60" s="2">
        <v>2.5209999999999999</v>
      </c>
      <c r="C60" s="1" t="s">
        <v>4</v>
      </c>
    </row>
    <row r="61" spans="1:3" x14ac:dyDescent="0.3">
      <c r="A61" s="1">
        <v>1990</v>
      </c>
      <c r="B61" s="2">
        <v>2.5169999999999999</v>
      </c>
      <c r="C61" s="1" t="s">
        <v>3</v>
      </c>
    </row>
    <row r="62" spans="1:3" x14ac:dyDescent="0.3">
      <c r="A62" s="1">
        <v>1990</v>
      </c>
      <c r="B62" s="2">
        <v>2.516</v>
      </c>
      <c r="C62" s="1" t="s">
        <v>3</v>
      </c>
    </row>
    <row r="63" spans="1:3" x14ac:dyDescent="0.3">
      <c r="A63" s="1">
        <v>1990</v>
      </c>
      <c r="B63" s="2">
        <v>2.5019999999999998</v>
      </c>
      <c r="C63" s="1" t="s">
        <v>3</v>
      </c>
    </row>
    <row r="64" spans="1:3" x14ac:dyDescent="0.3">
      <c r="A64" s="1">
        <v>1990</v>
      </c>
      <c r="B64" s="2">
        <v>2.4990000000000001</v>
      </c>
      <c r="C64" s="1" t="s">
        <v>4</v>
      </c>
    </row>
    <row r="65" spans="1:3" x14ac:dyDescent="0.3">
      <c r="A65" s="1">
        <v>1990</v>
      </c>
      <c r="B65" s="2">
        <v>2.4969999999999999</v>
      </c>
      <c r="C65" s="1" t="s">
        <v>4</v>
      </c>
    </row>
    <row r="66" spans="1:3" x14ac:dyDescent="0.3">
      <c r="A66" s="1">
        <v>1990</v>
      </c>
      <c r="B66" s="2">
        <v>2.4860000000000002</v>
      </c>
      <c r="C66" s="1" t="s">
        <v>3</v>
      </c>
    </row>
    <row r="67" spans="1:3" x14ac:dyDescent="0.3">
      <c r="A67" s="1">
        <v>1990</v>
      </c>
      <c r="B67" s="2">
        <v>2.484</v>
      </c>
      <c r="C67" s="1" t="s">
        <v>3</v>
      </c>
    </row>
    <row r="68" spans="1:3" x14ac:dyDescent="0.3">
      <c r="A68" s="1">
        <v>1990</v>
      </c>
      <c r="B68" s="2">
        <v>2.472</v>
      </c>
      <c r="C68" s="1" t="s">
        <v>3</v>
      </c>
    </row>
    <row r="69" spans="1:3" x14ac:dyDescent="0.3">
      <c r="A69" s="1">
        <v>1991</v>
      </c>
      <c r="B69" s="2">
        <v>2.5259999999999998</v>
      </c>
      <c r="C69" s="1" t="s">
        <v>3</v>
      </c>
    </row>
    <row r="70" spans="1:3" x14ac:dyDescent="0.3">
      <c r="A70" s="1">
        <v>1991</v>
      </c>
      <c r="B70" s="2">
        <v>2.524</v>
      </c>
      <c r="C70" s="1" t="s">
        <v>4</v>
      </c>
    </row>
    <row r="71" spans="1:3" x14ac:dyDescent="0.3">
      <c r="A71" s="1">
        <v>1991</v>
      </c>
      <c r="B71" s="2">
        <v>2.504</v>
      </c>
      <c r="C71" s="1" t="s">
        <v>4</v>
      </c>
    </row>
    <row r="72" spans="1:3" x14ac:dyDescent="0.3">
      <c r="A72" s="1">
        <v>1991</v>
      </c>
      <c r="B72" s="2">
        <v>2.5030000000000001</v>
      </c>
      <c r="C72" s="1" t="s">
        <v>4</v>
      </c>
    </row>
    <row r="73" spans="1:3" x14ac:dyDescent="0.3">
      <c r="A73" s="1">
        <v>1991</v>
      </c>
      <c r="B73" s="2">
        <v>2.492</v>
      </c>
      <c r="C73" s="1" t="s">
        <v>4</v>
      </c>
    </row>
    <row r="74" spans="1:3" x14ac:dyDescent="0.3">
      <c r="A74" s="1">
        <v>1991</v>
      </c>
      <c r="B74" s="2">
        <v>2.4809999999999999</v>
      </c>
      <c r="C74" s="1" t="s">
        <v>3</v>
      </c>
    </row>
    <row r="75" spans="1:3" x14ac:dyDescent="0.3">
      <c r="A75" s="1">
        <v>1991</v>
      </c>
      <c r="B75" s="2">
        <v>2.4769999999999999</v>
      </c>
      <c r="C75" s="1" t="s">
        <v>3</v>
      </c>
    </row>
    <row r="76" spans="1:3" x14ac:dyDescent="0.3">
      <c r="A76" s="1">
        <v>1991</v>
      </c>
      <c r="B76" s="2">
        <v>2.4740000000000002</v>
      </c>
      <c r="C76" s="1" t="s">
        <v>4</v>
      </c>
    </row>
    <row r="77" spans="1:3" x14ac:dyDescent="0.3">
      <c r="A77" s="1">
        <v>1991</v>
      </c>
      <c r="B77" s="2">
        <v>2.4729999999999999</v>
      </c>
      <c r="C77" s="1" t="s">
        <v>4</v>
      </c>
    </row>
    <row r="78" spans="1:3" x14ac:dyDescent="0.3">
      <c r="A78" s="1">
        <v>1991</v>
      </c>
      <c r="B78" s="2">
        <v>2.4710000000000001</v>
      </c>
      <c r="C78" s="1" t="s">
        <v>4</v>
      </c>
    </row>
    <row r="79" spans="1:3" x14ac:dyDescent="0.3">
      <c r="A79" s="1">
        <v>1992</v>
      </c>
      <c r="B79" s="2">
        <v>2.48</v>
      </c>
      <c r="C79" s="1" t="s">
        <v>3</v>
      </c>
    </row>
    <row r="80" spans="1:3" x14ac:dyDescent="0.3">
      <c r="A80" s="1">
        <v>1992</v>
      </c>
      <c r="B80" s="2">
        <v>2.46</v>
      </c>
      <c r="C80" s="1" t="s">
        <v>3</v>
      </c>
    </row>
    <row r="81" spans="1:3" x14ac:dyDescent="0.3">
      <c r="A81" s="1">
        <v>1993</v>
      </c>
      <c r="B81" s="2">
        <v>2.5419999999999998</v>
      </c>
      <c r="C81" s="1" t="s">
        <v>4</v>
      </c>
    </row>
    <row r="82" spans="1:3" x14ac:dyDescent="0.3">
      <c r="A82" s="1">
        <v>1993</v>
      </c>
      <c r="B82" s="2">
        <v>2.5379999999999998</v>
      </c>
      <c r="C82" s="1" t="s">
        <v>4</v>
      </c>
    </row>
    <row r="83" spans="1:3" x14ac:dyDescent="0.3">
      <c r="A83" s="1">
        <v>1993</v>
      </c>
      <c r="B83" s="2">
        <v>2.5350000000000001</v>
      </c>
      <c r="C83" s="1" t="s">
        <v>4</v>
      </c>
    </row>
    <row r="84" spans="1:3" x14ac:dyDescent="0.3">
      <c r="A84" s="1">
        <v>1993</v>
      </c>
      <c r="B84" s="2">
        <v>2.5190000000000001</v>
      </c>
      <c r="C84" s="1" t="s">
        <v>4</v>
      </c>
    </row>
    <row r="85" spans="1:3" x14ac:dyDescent="0.3">
      <c r="A85" s="1">
        <v>1993</v>
      </c>
      <c r="B85" s="2">
        <v>2.5030000000000001</v>
      </c>
      <c r="C85" s="1" t="s">
        <v>3</v>
      </c>
    </row>
    <row r="86" spans="1:3" x14ac:dyDescent="0.3">
      <c r="A86" s="1">
        <v>1993</v>
      </c>
      <c r="B86" s="2">
        <v>2.5009999999999999</v>
      </c>
      <c r="C86" s="1" t="s">
        <v>4</v>
      </c>
    </row>
    <row r="87" spans="1:3" x14ac:dyDescent="0.3">
      <c r="A87" s="1">
        <v>1993</v>
      </c>
      <c r="B87" s="2">
        <v>2.4950000000000001</v>
      </c>
      <c r="C87" s="1" t="s">
        <v>4</v>
      </c>
    </row>
    <row r="88" spans="1:3" x14ac:dyDescent="0.3">
      <c r="A88" s="1">
        <v>1993</v>
      </c>
      <c r="B88" s="2">
        <v>2.4940000000000002</v>
      </c>
      <c r="C88" s="1" t="s">
        <v>4</v>
      </c>
    </row>
    <row r="89" spans="1:3" x14ac:dyDescent="0.3">
      <c r="A89" s="1">
        <v>1993</v>
      </c>
      <c r="B89" s="2">
        <v>2.4900000000000002</v>
      </c>
      <c r="C89" s="1" t="s">
        <v>4</v>
      </c>
    </row>
    <row r="90" spans="1:3" x14ac:dyDescent="0.3">
      <c r="A90" s="1">
        <v>1993</v>
      </c>
      <c r="B90" s="2">
        <v>2.4900000000000002</v>
      </c>
      <c r="C90" s="1" t="s">
        <v>4</v>
      </c>
    </row>
    <row r="91" spans="1:3" x14ac:dyDescent="0.3">
      <c r="A91" s="1">
        <v>1994</v>
      </c>
      <c r="B91" s="2">
        <v>2.548</v>
      </c>
      <c r="C91" s="1" t="s">
        <v>4</v>
      </c>
    </row>
    <row r="92" spans="1:3" x14ac:dyDescent="0.3">
      <c r="A92" s="1">
        <v>1994</v>
      </c>
      <c r="B92" s="2">
        <v>2.544</v>
      </c>
      <c r="C92" s="1" t="s">
        <v>3</v>
      </c>
    </row>
    <row r="93" spans="1:3" x14ac:dyDescent="0.3">
      <c r="A93" s="1">
        <v>1994</v>
      </c>
      <c r="B93" s="2">
        <v>2.5329999999999999</v>
      </c>
      <c r="C93" s="1" t="s">
        <v>3</v>
      </c>
    </row>
    <row r="94" spans="1:3" x14ac:dyDescent="0.3">
      <c r="A94" s="1">
        <v>1994</v>
      </c>
      <c r="B94" s="2">
        <v>2.5249999999999999</v>
      </c>
      <c r="C94" s="1" t="s">
        <v>3</v>
      </c>
    </row>
    <row r="95" spans="1:3" x14ac:dyDescent="0.3">
      <c r="A95" s="1">
        <v>1994</v>
      </c>
      <c r="B95" s="2">
        <v>2.516</v>
      </c>
      <c r="C95" s="1" t="s">
        <v>3</v>
      </c>
    </row>
    <row r="96" spans="1:3" x14ac:dyDescent="0.3">
      <c r="A96" s="1">
        <v>1994</v>
      </c>
      <c r="B96" s="2">
        <v>2.4940000000000002</v>
      </c>
      <c r="C96" s="1" t="s">
        <v>3</v>
      </c>
    </row>
    <row r="97" spans="1:3" x14ac:dyDescent="0.3">
      <c r="A97" s="1">
        <v>1994</v>
      </c>
      <c r="B97" s="2">
        <v>2.4929999999999999</v>
      </c>
      <c r="C97" s="1" t="s">
        <v>4</v>
      </c>
    </row>
    <row r="98" spans="1:3" x14ac:dyDescent="0.3">
      <c r="A98" s="1">
        <v>1994</v>
      </c>
      <c r="B98" s="2">
        <v>2.464</v>
      </c>
      <c r="C98" s="1" t="s">
        <v>3</v>
      </c>
    </row>
    <row r="99" spans="1:3" x14ac:dyDescent="0.3">
      <c r="A99" s="1">
        <v>1995</v>
      </c>
      <c r="B99" s="2">
        <v>2.544</v>
      </c>
      <c r="C99" s="1" t="s">
        <v>3</v>
      </c>
    </row>
    <row r="100" spans="1:3" x14ac:dyDescent="0.3">
      <c r="A100" s="1">
        <v>1995</v>
      </c>
      <c r="B100" s="2">
        <v>2.5409999999999999</v>
      </c>
      <c r="C100" s="1" t="s">
        <v>4</v>
      </c>
    </row>
    <row r="101" spans="1:3" x14ac:dyDescent="0.3">
      <c r="A101" s="1">
        <v>1995</v>
      </c>
      <c r="B101" s="2">
        <v>2.5329999999999999</v>
      </c>
      <c r="C101" s="1" t="s">
        <v>4</v>
      </c>
    </row>
    <row r="102" spans="1:3" x14ac:dyDescent="0.3">
      <c r="A102" s="1">
        <v>1995</v>
      </c>
      <c r="B102" s="2">
        <v>2.532</v>
      </c>
      <c r="C102" s="1" t="s">
        <v>4</v>
      </c>
    </row>
    <row r="103" spans="1:3" x14ac:dyDescent="0.3">
      <c r="A103" s="1">
        <v>1995</v>
      </c>
      <c r="B103" s="2">
        <v>2.524</v>
      </c>
      <c r="C103" s="1" t="s">
        <v>4</v>
      </c>
    </row>
    <row r="104" spans="1:3" x14ac:dyDescent="0.3">
      <c r="A104" s="1">
        <v>1995</v>
      </c>
      <c r="B104" s="2">
        <v>2.5209999999999999</v>
      </c>
      <c r="C104" s="1" t="s">
        <v>3</v>
      </c>
    </row>
    <row r="105" spans="1:3" x14ac:dyDescent="0.3">
      <c r="A105" s="1">
        <v>1995</v>
      </c>
      <c r="B105" s="2">
        <v>2.496</v>
      </c>
      <c r="C105" s="1" t="s">
        <v>4</v>
      </c>
    </row>
    <row r="106" spans="1:3" x14ac:dyDescent="0.3">
      <c r="A106" s="1">
        <v>1995</v>
      </c>
      <c r="B106" s="2">
        <v>2.4809999999999999</v>
      </c>
      <c r="C106" s="1" t="s">
        <v>3</v>
      </c>
    </row>
    <row r="107" spans="1:3" x14ac:dyDescent="0.3">
      <c r="A107" s="1">
        <v>1995</v>
      </c>
      <c r="B107" s="2">
        <v>2.4750000000000001</v>
      </c>
      <c r="C107" s="1" t="s">
        <v>3</v>
      </c>
    </row>
    <row r="108" spans="1:3" x14ac:dyDescent="0.3">
      <c r="A108" s="1">
        <v>1995</v>
      </c>
      <c r="B108" s="2">
        <v>2.4580000000000002</v>
      </c>
      <c r="C108" s="1" t="s">
        <v>4</v>
      </c>
    </row>
    <row r="109" spans="1:3" x14ac:dyDescent="0.3">
      <c r="A109" s="1">
        <v>1995</v>
      </c>
      <c r="B109" s="2">
        <v>2.4540000000000002</v>
      </c>
      <c r="C109" s="1" t="s">
        <v>3</v>
      </c>
    </row>
    <row r="110" spans="1:3" x14ac:dyDescent="0.3">
      <c r="A110" s="1">
        <v>1996</v>
      </c>
      <c r="B110" s="2">
        <v>2.4980000000000002</v>
      </c>
      <c r="C110" s="1" t="s">
        <v>3</v>
      </c>
    </row>
    <row r="111" spans="1:3" x14ac:dyDescent="0.3">
      <c r="A111" s="1">
        <v>1996</v>
      </c>
      <c r="B111" s="2">
        <v>2.488</v>
      </c>
      <c r="C111" s="1" t="s">
        <v>4</v>
      </c>
    </row>
    <row r="112" spans="1:3" x14ac:dyDescent="0.3">
      <c r="A112" s="1">
        <v>1996</v>
      </c>
      <c r="B112" s="2">
        <v>2.4809999999999999</v>
      </c>
      <c r="C112" s="1" t="s">
        <v>4</v>
      </c>
    </row>
    <row r="113" spans="1:3" x14ac:dyDescent="0.3">
      <c r="A113" s="1">
        <v>1996</v>
      </c>
      <c r="B113" s="2">
        <v>2.4790000000000001</v>
      </c>
      <c r="C113" s="1" t="s">
        <v>3</v>
      </c>
    </row>
    <row r="114" spans="1:3" x14ac:dyDescent="0.3">
      <c r="A114" s="1">
        <v>1996</v>
      </c>
      <c r="B114" s="2">
        <v>2.4729999999999999</v>
      </c>
      <c r="C114" s="1" t="s">
        <v>4</v>
      </c>
    </row>
    <row r="115" spans="1:3" x14ac:dyDescent="0.3">
      <c r="A115" s="1">
        <v>1996</v>
      </c>
      <c r="B115" s="2">
        <v>2.4510000000000001</v>
      </c>
      <c r="C115" s="1" t="s">
        <v>4</v>
      </c>
    </row>
    <row r="116" spans="1:3" x14ac:dyDescent="0.3">
      <c r="A116" s="1">
        <v>1996</v>
      </c>
      <c r="B116" s="2">
        <v>2.403</v>
      </c>
      <c r="C116" s="1" t="s">
        <v>3</v>
      </c>
    </row>
    <row r="117" spans="1:3" x14ac:dyDescent="0.3">
      <c r="A117" s="1">
        <v>1997</v>
      </c>
      <c r="B117" s="2">
        <v>2.5619999999999998</v>
      </c>
      <c r="C117" s="1" t="s">
        <v>3</v>
      </c>
    </row>
    <row r="118" spans="1:3" x14ac:dyDescent="0.3">
      <c r="A118" s="1">
        <v>1997</v>
      </c>
      <c r="B118" s="2">
        <v>2.52</v>
      </c>
      <c r="C118" s="1" t="s">
        <v>3</v>
      </c>
    </row>
    <row r="119" spans="1:3" x14ac:dyDescent="0.3">
      <c r="A119" s="1">
        <v>1997</v>
      </c>
      <c r="B119" s="2">
        <v>2.5049999999999999</v>
      </c>
      <c r="C119" s="1" t="s">
        <v>3</v>
      </c>
    </row>
    <row r="120" spans="1:3" x14ac:dyDescent="0.3">
      <c r="A120" s="1">
        <v>1997</v>
      </c>
      <c r="B120" s="2">
        <v>2.504</v>
      </c>
      <c r="C120" s="1" t="s">
        <v>4</v>
      </c>
    </row>
    <row r="121" spans="1:3" x14ac:dyDescent="0.3">
      <c r="A121" s="1">
        <v>1997</v>
      </c>
      <c r="B121" s="2">
        <v>2.4969999999999999</v>
      </c>
      <c r="C121" s="1" t="s">
        <v>3</v>
      </c>
    </row>
    <row r="122" spans="1:3" x14ac:dyDescent="0.3">
      <c r="A122" s="1">
        <v>1997</v>
      </c>
      <c r="B122" s="2">
        <v>2.488</v>
      </c>
      <c r="C122" s="1" t="s">
        <v>4</v>
      </c>
    </row>
    <row r="123" spans="1:3" x14ac:dyDescent="0.3">
      <c r="A123" s="1">
        <v>1997</v>
      </c>
      <c r="B123" s="2">
        <v>2.4769999999999999</v>
      </c>
      <c r="C123" s="1" t="s">
        <v>4</v>
      </c>
    </row>
    <row r="124" spans="1:3" x14ac:dyDescent="0.3">
      <c r="A124" s="1">
        <v>1997</v>
      </c>
      <c r="B124" s="2">
        <v>2.4620000000000002</v>
      </c>
      <c r="C124" s="1" t="s">
        <v>3</v>
      </c>
    </row>
    <row r="125" spans="1:3" x14ac:dyDescent="0.3">
      <c r="A125" s="1">
        <v>1997</v>
      </c>
      <c r="B125" s="2">
        <v>2.46</v>
      </c>
      <c r="C125" s="1" t="s">
        <v>4</v>
      </c>
    </row>
    <row r="126" spans="1:3" x14ac:dyDescent="0.3">
      <c r="A126" s="1">
        <v>1997</v>
      </c>
      <c r="B126" s="2">
        <v>2.4569999999999999</v>
      </c>
      <c r="C126" s="1" t="s">
        <v>3</v>
      </c>
    </row>
    <row r="127" spans="1:3" x14ac:dyDescent="0.3">
      <c r="A127" s="1">
        <v>1998</v>
      </c>
      <c r="B127" s="2">
        <v>2.5059999999999998</v>
      </c>
      <c r="C127" s="1" t="s">
        <v>3</v>
      </c>
    </row>
    <row r="128" spans="1:3" x14ac:dyDescent="0.3">
      <c r="A128" s="1">
        <v>1998</v>
      </c>
      <c r="B128" s="2">
        <v>2.5</v>
      </c>
      <c r="C128" s="1" t="s">
        <v>3</v>
      </c>
    </row>
    <row r="129" spans="1:3" x14ac:dyDescent="0.3">
      <c r="A129" s="1">
        <v>1998</v>
      </c>
      <c r="B129" s="2">
        <v>2.4980000000000002</v>
      </c>
      <c r="C129" s="1" t="s">
        <v>4</v>
      </c>
    </row>
    <row r="130" spans="1:3" x14ac:dyDescent="0.3">
      <c r="A130" s="1">
        <v>1998</v>
      </c>
      <c r="B130" s="2">
        <v>2.4940000000000002</v>
      </c>
      <c r="C130" s="1" t="s">
        <v>3</v>
      </c>
    </row>
    <row r="131" spans="1:3" x14ac:dyDescent="0.3">
      <c r="A131" s="1">
        <v>1998</v>
      </c>
      <c r="B131" s="2">
        <v>2.4670000000000001</v>
      </c>
      <c r="C131" s="1" t="s">
        <v>4</v>
      </c>
    </row>
    <row r="132" spans="1:3" x14ac:dyDescent="0.3">
      <c r="A132" s="1">
        <v>1999</v>
      </c>
      <c r="B132" s="2">
        <v>2.5259999999999998</v>
      </c>
      <c r="C132" s="1" t="s">
        <v>3</v>
      </c>
    </row>
    <row r="133" spans="1:3" x14ac:dyDescent="0.3">
      <c r="A133" s="1">
        <v>1999</v>
      </c>
      <c r="B133" s="2">
        <v>2.5139999999999998</v>
      </c>
      <c r="C133" s="1" t="s">
        <v>3</v>
      </c>
    </row>
    <row r="134" spans="1:3" x14ac:dyDescent="0.3">
      <c r="A134" s="1">
        <v>1999</v>
      </c>
      <c r="B134" s="2">
        <v>2.5129999999999999</v>
      </c>
      <c r="C134" s="1" t="s">
        <v>3</v>
      </c>
    </row>
    <row r="135" spans="1:3" x14ac:dyDescent="0.3">
      <c r="A135" s="1">
        <v>1999</v>
      </c>
      <c r="B135" s="2">
        <v>2.5129999999999999</v>
      </c>
      <c r="C135" s="1" t="s">
        <v>3</v>
      </c>
    </row>
    <row r="136" spans="1:3" x14ac:dyDescent="0.3">
      <c r="A136" s="1">
        <v>1999</v>
      </c>
      <c r="B136" s="2">
        <v>2.4849999999999999</v>
      </c>
      <c r="C136" s="1" t="s">
        <v>3</v>
      </c>
    </row>
    <row r="137" spans="1:3" x14ac:dyDescent="0.3">
      <c r="A137" s="1">
        <v>1999</v>
      </c>
      <c r="B137" s="2">
        <v>2.4849999999999999</v>
      </c>
      <c r="C137" s="1" t="s">
        <v>3</v>
      </c>
    </row>
    <row r="138" spans="1:3" x14ac:dyDescent="0.3">
      <c r="A138" s="1">
        <v>2000</v>
      </c>
      <c r="B138" s="2">
        <v>2.5289999999999999</v>
      </c>
      <c r="C138" s="1" t="s">
        <v>4</v>
      </c>
    </row>
    <row r="139" spans="1:3" x14ac:dyDescent="0.3">
      <c r="A139" s="1">
        <v>2000</v>
      </c>
      <c r="B139" s="2">
        <v>2.508</v>
      </c>
      <c r="C139" s="1" t="s">
        <v>3</v>
      </c>
    </row>
    <row r="140" spans="1:3" x14ac:dyDescent="0.3">
      <c r="A140" s="1">
        <v>2000</v>
      </c>
      <c r="B140" s="2">
        <v>2.4889999999999999</v>
      </c>
      <c r="C140" s="1" t="s">
        <v>4</v>
      </c>
    </row>
    <row r="141" spans="1:3" x14ac:dyDescent="0.3">
      <c r="A141" s="1">
        <v>2000</v>
      </c>
      <c r="B141" s="2">
        <v>2.4830000000000001</v>
      </c>
      <c r="C141" s="1" t="s">
        <v>4</v>
      </c>
    </row>
    <row r="142" spans="1:3" x14ac:dyDescent="0.3">
      <c r="A142" s="1">
        <v>2000</v>
      </c>
      <c r="B142" s="2">
        <v>2.46</v>
      </c>
      <c r="C142" s="1" t="s">
        <v>4</v>
      </c>
    </row>
    <row r="143" spans="1:3" x14ac:dyDescent="0.3">
      <c r="A143" s="1">
        <v>2000</v>
      </c>
      <c r="B143" s="2">
        <v>2.456</v>
      </c>
      <c r="C143" s="1" t="s">
        <v>4</v>
      </c>
    </row>
    <row r="144" spans="1:3" x14ac:dyDescent="0.3">
      <c r="A144" s="1">
        <v>2001</v>
      </c>
      <c r="B144" s="2">
        <v>2.5529999999999999</v>
      </c>
      <c r="C144" s="1" t="s">
        <v>4</v>
      </c>
    </row>
    <row r="145" spans="1:3" x14ac:dyDescent="0.3">
      <c r="A145" s="1">
        <v>2001</v>
      </c>
      <c r="B145" s="2">
        <v>2.5390000000000001</v>
      </c>
      <c r="C145" s="1" t="s">
        <v>3</v>
      </c>
    </row>
    <row r="146" spans="1:3" x14ac:dyDescent="0.3">
      <c r="A146" s="1">
        <v>2001</v>
      </c>
      <c r="B146" s="2">
        <v>2.5099999999999998</v>
      </c>
      <c r="C146" s="1" t="s">
        <v>3</v>
      </c>
    </row>
    <row r="147" spans="1:3" x14ac:dyDescent="0.3">
      <c r="A147" s="1">
        <v>2001</v>
      </c>
      <c r="B147" s="2">
        <v>2.508</v>
      </c>
      <c r="C147" s="1" t="s">
        <v>4</v>
      </c>
    </row>
    <row r="148" spans="1:3" x14ac:dyDescent="0.3">
      <c r="A148" s="1">
        <v>2001</v>
      </c>
      <c r="B148" s="2">
        <v>2.4969999999999999</v>
      </c>
      <c r="C148" s="1" t="s">
        <v>3</v>
      </c>
    </row>
    <row r="149" spans="1:3" x14ac:dyDescent="0.3">
      <c r="A149" s="1">
        <v>2001</v>
      </c>
      <c r="B149" s="2">
        <v>2.484</v>
      </c>
      <c r="C149" s="1" t="s">
        <v>3</v>
      </c>
    </row>
    <row r="150" spans="1:3" x14ac:dyDescent="0.3">
      <c r="A150" s="1">
        <v>2001</v>
      </c>
      <c r="B150" s="2">
        <v>2.4569999999999999</v>
      </c>
      <c r="C150" s="1" t="s">
        <v>4</v>
      </c>
    </row>
    <row r="151" spans="1:3" x14ac:dyDescent="0.3">
      <c r="A151" s="1">
        <v>2002</v>
      </c>
      <c r="B151" s="2">
        <v>2.5379999999999998</v>
      </c>
      <c r="C151" s="1" t="s">
        <v>3</v>
      </c>
    </row>
    <row r="152" spans="1:3" x14ac:dyDescent="0.3">
      <c r="A152" s="1">
        <v>2002</v>
      </c>
      <c r="B152" s="2">
        <v>2.528</v>
      </c>
      <c r="C152" s="1" t="s">
        <v>4</v>
      </c>
    </row>
    <row r="153" spans="1:3" x14ac:dyDescent="0.3">
      <c r="A153" s="1">
        <v>2002</v>
      </c>
      <c r="B153" s="2">
        <v>2.5169999999999999</v>
      </c>
      <c r="C153" s="1" t="s">
        <v>3</v>
      </c>
    </row>
    <row r="154" spans="1:3" x14ac:dyDescent="0.3">
      <c r="A154" s="1">
        <v>2002</v>
      </c>
      <c r="B154" s="2">
        <v>2.5110000000000001</v>
      </c>
      <c r="C154" s="1" t="s">
        <v>4</v>
      </c>
    </row>
    <row r="155" spans="1:3" x14ac:dyDescent="0.3">
      <c r="A155" s="1">
        <v>2002</v>
      </c>
      <c r="B155" s="2">
        <v>2.5019999999999998</v>
      </c>
      <c r="C155" s="1" t="s">
        <v>4</v>
      </c>
    </row>
    <row r="156" spans="1:3" x14ac:dyDescent="0.3">
      <c r="A156" s="1">
        <v>2002</v>
      </c>
      <c r="B156" s="2">
        <v>2.4950000000000001</v>
      </c>
      <c r="C156" s="1" t="s">
        <v>4</v>
      </c>
    </row>
    <row r="157" spans="1:3" x14ac:dyDescent="0.3">
      <c r="A157" s="1">
        <v>2002</v>
      </c>
      <c r="B157" s="2">
        <v>2.4929999999999999</v>
      </c>
      <c r="C157" s="1" t="s">
        <v>4</v>
      </c>
    </row>
    <row r="158" spans="1:3" x14ac:dyDescent="0.3">
      <c r="A158" s="1">
        <v>2002</v>
      </c>
      <c r="B158" s="2">
        <v>2.4860000000000002</v>
      </c>
      <c r="C158" s="1" t="s">
        <v>4</v>
      </c>
    </row>
    <row r="159" spans="1:3" x14ac:dyDescent="0.3">
      <c r="A159" s="1">
        <v>2002</v>
      </c>
      <c r="B159" s="2">
        <v>2.484</v>
      </c>
      <c r="C159" s="1" t="s">
        <v>3</v>
      </c>
    </row>
    <row r="160" spans="1:3" x14ac:dyDescent="0.3">
      <c r="A160" s="1">
        <v>2002</v>
      </c>
      <c r="B160" s="2">
        <v>2.4569999999999999</v>
      </c>
      <c r="C160" s="1" t="s">
        <v>3</v>
      </c>
    </row>
    <row r="161" spans="1:3" x14ac:dyDescent="0.3">
      <c r="A161" s="1">
        <v>2003</v>
      </c>
      <c r="B161" s="2">
        <v>2.5409999999999999</v>
      </c>
      <c r="C161" s="1" t="s">
        <v>4</v>
      </c>
    </row>
    <row r="162" spans="1:3" x14ac:dyDescent="0.3">
      <c r="A162" s="1">
        <v>2003</v>
      </c>
      <c r="B162" s="2">
        <v>2.5310000000000001</v>
      </c>
      <c r="C162" s="1" t="s">
        <v>4</v>
      </c>
    </row>
    <row r="163" spans="1:3" x14ac:dyDescent="0.3">
      <c r="A163" s="1">
        <v>2003</v>
      </c>
      <c r="B163" s="2">
        <v>2.504</v>
      </c>
      <c r="C163" s="1" t="s">
        <v>4</v>
      </c>
    </row>
    <row r="164" spans="1:3" x14ac:dyDescent="0.3">
      <c r="A164" s="1">
        <v>2003</v>
      </c>
      <c r="B164" s="2">
        <v>2.4900000000000002</v>
      </c>
      <c r="C164" s="1" t="s">
        <v>4</v>
      </c>
    </row>
    <row r="165" spans="1:3" x14ac:dyDescent="0.3">
      <c r="A165" s="1">
        <v>2003</v>
      </c>
      <c r="B165" s="2">
        <v>2.488</v>
      </c>
      <c r="C165" s="1" t="s">
        <v>3</v>
      </c>
    </row>
    <row r="166" spans="1:3" x14ac:dyDescent="0.3">
      <c r="A166" s="1">
        <v>2003</v>
      </c>
      <c r="B166" s="2">
        <v>2.4860000000000002</v>
      </c>
      <c r="C166" s="1" t="s">
        <v>4</v>
      </c>
    </row>
    <row r="167" spans="1:3" x14ac:dyDescent="0.3">
      <c r="A167" s="1">
        <v>2003</v>
      </c>
      <c r="B167" s="2">
        <v>2.4660000000000002</v>
      </c>
      <c r="C167" s="1" t="s">
        <v>4</v>
      </c>
    </row>
    <row r="168" spans="1:3" x14ac:dyDescent="0.3">
      <c r="A168" s="1">
        <v>2003</v>
      </c>
      <c r="B168" s="2">
        <v>2.4620000000000002</v>
      </c>
      <c r="C168" s="1" t="s">
        <v>3</v>
      </c>
    </row>
    <row r="169" spans="1:3" x14ac:dyDescent="0.3">
      <c r="A169" s="1">
        <v>2004</v>
      </c>
      <c r="B169" s="2">
        <v>2.5089999999999999</v>
      </c>
      <c r="C169" s="1" t="s">
        <v>3</v>
      </c>
    </row>
    <row r="170" spans="1:3" x14ac:dyDescent="0.3">
      <c r="A170" s="1">
        <v>2004</v>
      </c>
      <c r="B170" s="2">
        <v>2.492</v>
      </c>
      <c r="C170" s="1" t="s">
        <v>4</v>
      </c>
    </row>
    <row r="171" spans="1:3" x14ac:dyDescent="0.3">
      <c r="A171" s="1">
        <v>2004</v>
      </c>
      <c r="B171" s="2">
        <v>2.4889999999999999</v>
      </c>
      <c r="C171" s="1" t="s">
        <v>3</v>
      </c>
    </row>
    <row r="172" spans="1:3" x14ac:dyDescent="0.3">
      <c r="A172" s="1">
        <v>2004</v>
      </c>
      <c r="B172" s="2">
        <v>2.4830000000000001</v>
      </c>
      <c r="C172" s="1" t="s">
        <v>4</v>
      </c>
    </row>
    <row r="173" spans="1:3" x14ac:dyDescent="0.3">
      <c r="A173" s="1">
        <v>2005</v>
      </c>
      <c r="B173" s="2">
        <v>2.508</v>
      </c>
      <c r="C173" s="1" t="s">
        <v>3</v>
      </c>
    </row>
    <row r="174" spans="1:3" x14ac:dyDescent="0.3">
      <c r="A174" s="1">
        <v>2005</v>
      </c>
      <c r="B174" s="2">
        <v>2.5049999999999999</v>
      </c>
      <c r="C174" s="1" t="s">
        <v>4</v>
      </c>
    </row>
    <row r="175" spans="1:3" x14ac:dyDescent="0.3">
      <c r="A175" s="1">
        <v>2005</v>
      </c>
      <c r="B175" s="2">
        <v>2.5049999999999999</v>
      </c>
      <c r="C175" s="1" t="s">
        <v>4</v>
      </c>
    </row>
    <row r="176" spans="1:3" x14ac:dyDescent="0.3">
      <c r="A176" s="1">
        <v>2005</v>
      </c>
      <c r="B176" s="2">
        <v>2.5019999999999998</v>
      </c>
      <c r="C176" s="1" t="s">
        <v>4</v>
      </c>
    </row>
    <row r="177" spans="1:3" x14ac:dyDescent="0.3">
      <c r="A177" s="1">
        <v>2005</v>
      </c>
      <c r="B177" s="2">
        <v>2.4809999999999999</v>
      </c>
      <c r="C177" s="1" t="s">
        <v>4</v>
      </c>
    </row>
    <row r="178" spans="1:3" x14ac:dyDescent="0.3">
      <c r="A178" s="1">
        <v>2006</v>
      </c>
      <c r="B178" s="2">
        <v>2.5299999999999998</v>
      </c>
      <c r="C178" s="1" t="s">
        <v>3</v>
      </c>
    </row>
    <row r="179" spans="1:3" x14ac:dyDescent="0.3">
      <c r="A179" s="1">
        <v>2006</v>
      </c>
      <c r="B179" s="2">
        <v>2.5179999999999998</v>
      </c>
      <c r="C179" s="1" t="s">
        <v>4</v>
      </c>
    </row>
    <row r="180" spans="1:3" x14ac:dyDescent="0.3">
      <c r="A180" s="1">
        <v>2006</v>
      </c>
      <c r="B180" s="2">
        <v>2.516</v>
      </c>
      <c r="C180" s="1" t="s">
        <v>3</v>
      </c>
    </row>
    <row r="181" spans="1:3" x14ac:dyDescent="0.3">
      <c r="A181" s="1">
        <v>2006</v>
      </c>
      <c r="B181" s="2">
        <v>2.512</v>
      </c>
      <c r="C181" s="1" t="s">
        <v>4</v>
      </c>
    </row>
    <row r="182" spans="1:3" x14ac:dyDescent="0.3">
      <c r="A182" s="1">
        <v>2006</v>
      </c>
      <c r="B182" s="2">
        <v>2.5110000000000001</v>
      </c>
      <c r="C182" s="1" t="s">
        <v>3</v>
      </c>
    </row>
    <row r="183" spans="1:3" x14ac:dyDescent="0.3">
      <c r="A183" s="1">
        <v>2006</v>
      </c>
      <c r="B183" s="2">
        <v>2.4769999999999999</v>
      </c>
      <c r="C183" s="1" t="s">
        <v>3</v>
      </c>
    </row>
    <row r="184" spans="1:3" x14ac:dyDescent="0.3">
      <c r="A184" s="1">
        <v>2006</v>
      </c>
      <c r="B184" s="2">
        <v>2.4700000000000002</v>
      </c>
      <c r="C184" s="1" t="s">
        <v>3</v>
      </c>
    </row>
    <row r="185" spans="1:3" x14ac:dyDescent="0.3">
      <c r="A185" s="1">
        <v>2006</v>
      </c>
      <c r="B185" s="2">
        <v>2.4689999999999999</v>
      </c>
      <c r="C185" s="1" t="s">
        <v>3</v>
      </c>
    </row>
    <row r="186" spans="1:3" x14ac:dyDescent="0.3">
      <c r="A186" s="1">
        <v>2007</v>
      </c>
      <c r="B186" s="2">
        <v>2.556</v>
      </c>
      <c r="C186" s="1" t="s">
        <v>4</v>
      </c>
    </row>
    <row r="187" spans="1:3" x14ac:dyDescent="0.3">
      <c r="A187" s="1">
        <v>2007</v>
      </c>
      <c r="B187" s="2">
        <v>2.5249999999999999</v>
      </c>
      <c r="C187" s="1" t="s">
        <v>3</v>
      </c>
    </row>
    <row r="188" spans="1:3" x14ac:dyDescent="0.3">
      <c r="A188" s="1">
        <v>2007</v>
      </c>
      <c r="B188" s="2">
        <v>2.52</v>
      </c>
      <c r="C188" s="1" t="s">
        <v>4</v>
      </c>
    </row>
    <row r="189" spans="1:3" x14ac:dyDescent="0.3">
      <c r="A189" s="1">
        <v>2007</v>
      </c>
      <c r="B189" s="2">
        <v>2.5169999999999999</v>
      </c>
      <c r="C189" s="1" t="s">
        <v>4</v>
      </c>
    </row>
    <row r="190" spans="1:3" x14ac:dyDescent="0.3">
      <c r="A190" s="1">
        <v>2007</v>
      </c>
      <c r="B190" s="2">
        <v>2.5089999999999999</v>
      </c>
      <c r="C190" s="1" t="s">
        <v>3</v>
      </c>
    </row>
    <row r="191" spans="1:3" x14ac:dyDescent="0.3">
      <c r="A191" s="1">
        <v>2007</v>
      </c>
      <c r="B191" s="2">
        <v>2.4969999999999999</v>
      </c>
      <c r="C191" s="1" t="s">
        <v>3</v>
      </c>
    </row>
    <row r="192" spans="1:3" x14ac:dyDescent="0.3">
      <c r="A192" s="1">
        <v>2007</v>
      </c>
      <c r="B192" s="2">
        <v>2.492</v>
      </c>
      <c r="C192" s="1" t="s">
        <v>4</v>
      </c>
    </row>
    <row r="193" spans="1:3" x14ac:dyDescent="0.3">
      <c r="A193" s="1">
        <v>2008</v>
      </c>
      <c r="B193" s="2">
        <v>2.5640000000000001</v>
      </c>
      <c r="C193" s="1" t="s">
        <v>4</v>
      </c>
    </row>
    <row r="194" spans="1:3" x14ac:dyDescent="0.3">
      <c r="A194" s="1">
        <v>2008</v>
      </c>
      <c r="B194" s="2">
        <v>2.5449999999999999</v>
      </c>
      <c r="C194" s="1" t="s">
        <v>4</v>
      </c>
    </row>
    <row r="195" spans="1:3" x14ac:dyDescent="0.3">
      <c r="A195" s="1">
        <v>2008</v>
      </c>
      <c r="B195" s="2">
        <v>2.5139999999999998</v>
      </c>
      <c r="C195" s="1" t="s">
        <v>4</v>
      </c>
    </row>
    <row r="196" spans="1:3" x14ac:dyDescent="0.3">
      <c r="A196" s="1">
        <v>2008</v>
      </c>
      <c r="B196" s="2">
        <v>2.4969999999999999</v>
      </c>
      <c r="C196" s="1" t="s">
        <v>4</v>
      </c>
    </row>
    <row r="197" spans="1:3" x14ac:dyDescent="0.3">
      <c r="A197" s="1">
        <v>2008</v>
      </c>
      <c r="B197" s="2">
        <v>2.4950000000000001</v>
      </c>
      <c r="C197" s="1" t="s">
        <v>4</v>
      </c>
    </row>
    <row r="198" spans="1:3" x14ac:dyDescent="0.3">
      <c r="A198" s="1">
        <v>2008</v>
      </c>
      <c r="B198" s="2">
        <v>2.488</v>
      </c>
      <c r="C198" s="1" t="s">
        <v>4</v>
      </c>
    </row>
    <row r="199" spans="1:3" x14ac:dyDescent="0.3">
      <c r="A199" s="1">
        <v>2008</v>
      </c>
      <c r="B199" s="2">
        <v>2.4830000000000001</v>
      </c>
      <c r="C199" s="1" t="s">
        <v>3</v>
      </c>
    </row>
    <row r="200" spans="1:3" x14ac:dyDescent="0.3">
      <c r="A200" s="1">
        <v>2008</v>
      </c>
      <c r="B200" s="2">
        <v>2.444</v>
      </c>
      <c r="C200" s="1" t="s">
        <v>4</v>
      </c>
    </row>
    <row r="201" spans="1:3" x14ac:dyDescent="0.3">
      <c r="A201" s="1">
        <v>2009</v>
      </c>
      <c r="B201" s="2">
        <v>2.5350000000000001</v>
      </c>
      <c r="C201" s="1" t="s">
        <v>4</v>
      </c>
    </row>
    <row r="202" spans="1:3" x14ac:dyDescent="0.3">
      <c r="A202" s="1">
        <v>2009</v>
      </c>
      <c r="B202" s="2">
        <v>2.5139999999999998</v>
      </c>
      <c r="C202" s="1" t="s">
        <v>4</v>
      </c>
    </row>
    <row r="203" spans="1:3" x14ac:dyDescent="0.3">
      <c r="A203" s="1">
        <v>2009</v>
      </c>
      <c r="B203" s="2">
        <v>2.5139999999999998</v>
      </c>
      <c r="C203" s="1" t="s">
        <v>3</v>
      </c>
    </row>
    <row r="204" spans="1:3" x14ac:dyDescent="0.3">
      <c r="A204" s="1">
        <v>2009</v>
      </c>
      <c r="B204" s="2">
        <v>2.5110000000000001</v>
      </c>
      <c r="C204" s="1" t="s">
        <v>3</v>
      </c>
    </row>
    <row r="205" spans="1:3" x14ac:dyDescent="0.3">
      <c r="A205" s="1">
        <v>2009</v>
      </c>
      <c r="B205" s="2">
        <v>2.4929999999999999</v>
      </c>
      <c r="C205" s="1" t="s">
        <v>3</v>
      </c>
    </row>
    <row r="206" spans="1:3" x14ac:dyDescent="0.3">
      <c r="A206" s="1">
        <v>2009</v>
      </c>
      <c r="B206" s="2">
        <v>2.4900000000000002</v>
      </c>
      <c r="C206" s="1" t="s">
        <v>3</v>
      </c>
    </row>
    <row r="207" spans="1:3" x14ac:dyDescent="0.3">
      <c r="A207" s="1">
        <v>2009</v>
      </c>
      <c r="B207" s="2">
        <v>2.4390000000000001</v>
      </c>
      <c r="C207" s="1" t="s">
        <v>3</v>
      </c>
    </row>
    <row r="208" spans="1:3" x14ac:dyDescent="0.3">
      <c r="A208" s="1">
        <v>2010</v>
      </c>
      <c r="B208" s="2">
        <v>2.54</v>
      </c>
      <c r="C208" s="1" t="s">
        <v>3</v>
      </c>
    </row>
    <row r="209" spans="1:3" x14ac:dyDescent="0.3">
      <c r="A209" s="1">
        <v>2010</v>
      </c>
      <c r="B209" s="2">
        <v>2.516</v>
      </c>
      <c r="C209" s="1" t="s">
        <v>4</v>
      </c>
    </row>
    <row r="210" spans="1:3" x14ac:dyDescent="0.3">
      <c r="A210" s="1">
        <v>2010</v>
      </c>
      <c r="B210" s="2">
        <v>2.508</v>
      </c>
      <c r="C210" s="1" t="s">
        <v>3</v>
      </c>
    </row>
    <row r="211" spans="1:3" x14ac:dyDescent="0.3">
      <c r="A211" s="1">
        <v>2010</v>
      </c>
      <c r="B211" s="2">
        <v>2.5030000000000001</v>
      </c>
      <c r="C211" s="1" t="s">
        <v>4</v>
      </c>
    </row>
    <row r="212" spans="1:3" x14ac:dyDescent="0.3">
      <c r="A212" s="1">
        <v>2010</v>
      </c>
      <c r="B212" s="2">
        <v>2.5</v>
      </c>
      <c r="C212" s="1" t="s">
        <v>3</v>
      </c>
    </row>
    <row r="213" spans="1:3" x14ac:dyDescent="0.3">
      <c r="A213" s="1">
        <v>2010</v>
      </c>
      <c r="B213" s="2">
        <v>2.4980000000000002</v>
      </c>
      <c r="C213" s="1" t="s">
        <v>3</v>
      </c>
    </row>
    <row r="214" spans="1:3" x14ac:dyDescent="0.3">
      <c r="A214" s="1">
        <v>2010</v>
      </c>
      <c r="B214" s="2">
        <v>2.4980000000000002</v>
      </c>
      <c r="C214" s="1" t="s">
        <v>3</v>
      </c>
    </row>
    <row r="215" spans="1:3" x14ac:dyDescent="0.3">
      <c r="A215" s="1">
        <v>2010</v>
      </c>
      <c r="B215" s="2">
        <v>2.4929999999999999</v>
      </c>
      <c r="C215" s="1" t="s">
        <v>4</v>
      </c>
    </row>
    <row r="216" spans="1:3" x14ac:dyDescent="0.3">
      <c r="A216" s="1">
        <v>2010</v>
      </c>
      <c r="B216" s="2">
        <v>2.476</v>
      </c>
      <c r="C216" s="1" t="s">
        <v>3</v>
      </c>
    </row>
    <row r="217" spans="1:3" x14ac:dyDescent="0.3">
      <c r="A217" s="1">
        <v>2010</v>
      </c>
      <c r="B217" s="2">
        <v>2.4689999999999999</v>
      </c>
      <c r="C217" s="1" t="s">
        <v>4</v>
      </c>
    </row>
    <row r="218" spans="1:3" x14ac:dyDescent="0.3">
      <c r="A218" s="1">
        <v>2010</v>
      </c>
      <c r="B218" s="2">
        <v>2.4630000000000001</v>
      </c>
      <c r="C218" s="1" t="s">
        <v>3</v>
      </c>
    </row>
    <row r="219" spans="1:3" x14ac:dyDescent="0.3">
      <c r="A219" s="1">
        <v>2011</v>
      </c>
      <c r="B219" s="2">
        <v>2.5169999999999999</v>
      </c>
      <c r="C219" s="1" t="s">
        <v>4</v>
      </c>
    </row>
    <row r="220" spans="1:3" x14ac:dyDescent="0.3">
      <c r="A220" s="1">
        <v>2011</v>
      </c>
      <c r="B220" s="2">
        <v>2.516</v>
      </c>
      <c r="C220" s="1" t="s">
        <v>4</v>
      </c>
    </row>
    <row r="221" spans="1:3" x14ac:dyDescent="0.3">
      <c r="A221" s="1">
        <v>2011</v>
      </c>
      <c r="B221" s="2">
        <v>2.5070000000000001</v>
      </c>
      <c r="C221" s="1" t="s">
        <v>3</v>
      </c>
    </row>
    <row r="222" spans="1:3" x14ac:dyDescent="0.3">
      <c r="A222" s="1">
        <v>2011</v>
      </c>
      <c r="B222" s="2">
        <v>2.4860000000000002</v>
      </c>
      <c r="C222" s="1" t="s">
        <v>4</v>
      </c>
    </row>
    <row r="223" spans="1:3" x14ac:dyDescent="0.3">
      <c r="A223" s="1">
        <v>2011</v>
      </c>
      <c r="B223" s="2">
        <v>2.4860000000000002</v>
      </c>
      <c r="C223" s="1" t="s">
        <v>4</v>
      </c>
    </row>
    <row r="224" spans="1:3" x14ac:dyDescent="0.3">
      <c r="A224" s="1">
        <v>2011</v>
      </c>
      <c r="B224" s="2">
        <v>2.484</v>
      </c>
      <c r="C224" s="1" t="s">
        <v>3</v>
      </c>
    </row>
    <row r="225" spans="1:3" x14ac:dyDescent="0.3">
      <c r="A225" s="1">
        <v>2012</v>
      </c>
      <c r="B225" s="2">
        <v>2.536</v>
      </c>
      <c r="C225" s="1" t="s">
        <v>3</v>
      </c>
    </row>
    <row r="226" spans="1:3" x14ac:dyDescent="0.3">
      <c r="A226" s="1">
        <v>2012</v>
      </c>
      <c r="B226" s="2">
        <v>2.5350000000000001</v>
      </c>
      <c r="C226" s="1" t="s">
        <v>3</v>
      </c>
    </row>
    <row r="227" spans="1:3" x14ac:dyDescent="0.3">
      <c r="A227" s="1">
        <v>2012</v>
      </c>
      <c r="B227" s="2">
        <v>2.5329999999999999</v>
      </c>
      <c r="C227" s="1" t="s">
        <v>4</v>
      </c>
    </row>
    <row r="228" spans="1:3" x14ac:dyDescent="0.3">
      <c r="A228" s="1">
        <v>2012</v>
      </c>
      <c r="B228" s="2">
        <v>2.532</v>
      </c>
      <c r="C228" s="1" t="s">
        <v>4</v>
      </c>
    </row>
    <row r="229" spans="1:3" x14ac:dyDescent="0.3">
      <c r="A229" s="1">
        <v>2012</v>
      </c>
      <c r="B229" s="2">
        <v>2.5110000000000001</v>
      </c>
      <c r="C229" s="1" t="s">
        <v>3</v>
      </c>
    </row>
    <row r="230" spans="1:3" x14ac:dyDescent="0.3">
      <c r="A230" s="1">
        <v>2012</v>
      </c>
      <c r="B230" s="2">
        <v>2.5110000000000001</v>
      </c>
      <c r="C230" s="1" t="s">
        <v>4</v>
      </c>
    </row>
    <row r="231" spans="1:3" x14ac:dyDescent="0.3">
      <c r="A231" s="1">
        <v>2012</v>
      </c>
      <c r="B231" s="2">
        <v>2.5049999999999999</v>
      </c>
      <c r="C231" s="1" t="s">
        <v>4</v>
      </c>
    </row>
    <row r="232" spans="1:3" x14ac:dyDescent="0.3">
      <c r="A232" s="1">
        <v>2012</v>
      </c>
      <c r="B232" s="2">
        <v>2.5030000000000001</v>
      </c>
      <c r="C232" s="1" t="s">
        <v>3</v>
      </c>
    </row>
    <row r="233" spans="1:3" x14ac:dyDescent="0.3">
      <c r="A233" s="1">
        <v>2012</v>
      </c>
      <c r="B233" s="2">
        <v>2.4849999999999999</v>
      </c>
      <c r="C233" s="1" t="s">
        <v>3</v>
      </c>
    </row>
    <row r="234" spans="1:3" x14ac:dyDescent="0.3">
      <c r="A234" s="1">
        <v>2012</v>
      </c>
      <c r="B234" s="2">
        <v>2.48</v>
      </c>
      <c r="C234" s="1" t="s">
        <v>4</v>
      </c>
    </row>
    <row r="235" spans="1:3" x14ac:dyDescent="0.3">
      <c r="A235" s="1">
        <v>2012</v>
      </c>
      <c r="B235" s="2">
        <v>2.4620000000000002</v>
      </c>
      <c r="C235" s="1" t="s">
        <v>3</v>
      </c>
    </row>
    <row r="236" spans="1:3" x14ac:dyDescent="0.3">
      <c r="A236" s="1">
        <v>2012</v>
      </c>
      <c r="B236" s="2">
        <v>2.4620000000000002</v>
      </c>
      <c r="C236" s="1" t="s">
        <v>3</v>
      </c>
    </row>
    <row r="237" spans="1:3" x14ac:dyDescent="0.3">
      <c r="A237" s="1">
        <v>2012</v>
      </c>
      <c r="B237" s="2">
        <v>2.4609999999999999</v>
      </c>
      <c r="C237" s="1" t="s">
        <v>3</v>
      </c>
    </row>
    <row r="238" spans="1:3" x14ac:dyDescent="0.3">
      <c r="A238" s="1">
        <v>2013</v>
      </c>
      <c r="B238" s="2">
        <v>2.5579999999999998</v>
      </c>
      <c r="C238" s="1" t="s">
        <v>3</v>
      </c>
    </row>
    <row r="239" spans="1:3" x14ac:dyDescent="0.3">
      <c r="A239" s="1">
        <v>2013</v>
      </c>
      <c r="B239" s="2">
        <v>2.5310000000000001</v>
      </c>
      <c r="C239" s="1" t="s">
        <v>3</v>
      </c>
    </row>
    <row r="240" spans="1:3" x14ac:dyDescent="0.3">
      <c r="A240" s="1">
        <v>2013</v>
      </c>
      <c r="B240" s="2">
        <v>2.5230000000000001</v>
      </c>
      <c r="C240" s="1" t="s">
        <v>4</v>
      </c>
    </row>
    <row r="241" spans="1:3" x14ac:dyDescent="0.3">
      <c r="A241" s="1">
        <v>2013</v>
      </c>
      <c r="B241" s="2">
        <v>2.5190000000000001</v>
      </c>
      <c r="C241" s="1" t="s">
        <v>3</v>
      </c>
    </row>
    <row r="242" spans="1:3" x14ac:dyDescent="0.3">
      <c r="A242" s="1">
        <v>2013</v>
      </c>
      <c r="B242" s="2">
        <v>2.5129999999999999</v>
      </c>
      <c r="C242" s="1" t="s">
        <v>4</v>
      </c>
    </row>
    <row r="243" spans="1:3" x14ac:dyDescent="0.3">
      <c r="A243" s="1">
        <v>2013</v>
      </c>
      <c r="B243" s="2">
        <v>2.5070000000000001</v>
      </c>
      <c r="C243" s="1" t="s">
        <v>3</v>
      </c>
    </row>
    <row r="244" spans="1:3" x14ac:dyDescent="0.3">
      <c r="A244" s="1">
        <v>2013</v>
      </c>
      <c r="B244" s="2">
        <v>2.4929999999999999</v>
      </c>
      <c r="C244" s="1" t="s">
        <v>3</v>
      </c>
    </row>
    <row r="245" spans="1:3" x14ac:dyDescent="0.3">
      <c r="A245" s="1">
        <v>2013</v>
      </c>
      <c r="B245" s="2">
        <v>2.4929999999999999</v>
      </c>
      <c r="C245" s="1" t="s">
        <v>3</v>
      </c>
    </row>
    <row r="246" spans="1:3" x14ac:dyDescent="0.3">
      <c r="A246" s="1">
        <v>2014</v>
      </c>
      <c r="B246" s="2">
        <v>2.5640000000000001</v>
      </c>
      <c r="C246" s="1" t="s">
        <v>3</v>
      </c>
    </row>
    <row r="247" spans="1:3" x14ac:dyDescent="0.3">
      <c r="A247" s="1">
        <v>2014</v>
      </c>
      <c r="B247" s="2">
        <v>2.5310000000000001</v>
      </c>
      <c r="C247" s="1" t="s">
        <v>4</v>
      </c>
    </row>
    <row r="248" spans="1:3" x14ac:dyDescent="0.3">
      <c r="A248" s="1">
        <v>2014</v>
      </c>
      <c r="B248" s="2">
        <v>2.5150000000000001</v>
      </c>
      <c r="C248" s="1" t="s">
        <v>4</v>
      </c>
    </row>
    <row r="249" spans="1:3" x14ac:dyDescent="0.3">
      <c r="A249" s="1">
        <v>2014</v>
      </c>
      <c r="B249" s="2">
        <v>2.5139999999999998</v>
      </c>
      <c r="C249" s="1" t="s">
        <v>4</v>
      </c>
    </row>
    <row r="250" spans="1:3" x14ac:dyDescent="0.3">
      <c r="A250" s="1">
        <v>2014</v>
      </c>
      <c r="B250" s="2">
        <v>2.5129999999999999</v>
      </c>
      <c r="C250" s="1" t="s">
        <v>3</v>
      </c>
    </row>
    <row r="251" spans="1:3" x14ac:dyDescent="0.3">
      <c r="A251" s="1">
        <v>2014</v>
      </c>
      <c r="B251" s="2">
        <v>2.5099999999999998</v>
      </c>
      <c r="C251" s="1" t="s">
        <v>3</v>
      </c>
    </row>
    <row r="252" spans="1:3" x14ac:dyDescent="0.3">
      <c r="A252" s="1">
        <v>2014</v>
      </c>
      <c r="B252" s="2">
        <v>2.504</v>
      </c>
      <c r="C252" s="1" t="s">
        <v>4</v>
      </c>
    </row>
    <row r="253" spans="1:3" x14ac:dyDescent="0.3">
      <c r="A253" s="1">
        <v>2014</v>
      </c>
      <c r="B253" s="2">
        <v>2.476</v>
      </c>
      <c r="C253" s="1" t="s">
        <v>4</v>
      </c>
    </row>
    <row r="254" spans="1:3" x14ac:dyDescent="0.3">
      <c r="A254" s="1">
        <v>2014</v>
      </c>
      <c r="B254" s="2">
        <v>2.4710000000000001</v>
      </c>
      <c r="C254" s="1" t="s">
        <v>3</v>
      </c>
    </row>
    <row r="255" spans="1:3" x14ac:dyDescent="0.3">
      <c r="A255" s="1">
        <v>2014</v>
      </c>
      <c r="B255" s="2">
        <v>2.456</v>
      </c>
      <c r="C255" s="1" t="s">
        <v>4</v>
      </c>
    </row>
    <row r="256" spans="1:3" x14ac:dyDescent="0.3">
      <c r="A256" s="1">
        <v>2015</v>
      </c>
      <c r="B256" s="2">
        <v>2.5350000000000001</v>
      </c>
      <c r="C256" s="1" t="s">
        <v>3</v>
      </c>
    </row>
    <row r="257" spans="1:3" x14ac:dyDescent="0.3">
      <c r="A257" s="1">
        <v>2015</v>
      </c>
      <c r="B257" s="2">
        <v>2.5289999999999999</v>
      </c>
      <c r="C257" s="1" t="s">
        <v>3</v>
      </c>
    </row>
    <row r="258" spans="1:3" x14ac:dyDescent="0.3">
      <c r="A258" s="1">
        <v>2015</v>
      </c>
      <c r="B258" s="2">
        <v>2.5289999999999999</v>
      </c>
      <c r="C258" s="1" t="s">
        <v>3</v>
      </c>
    </row>
    <row r="259" spans="1:3" x14ac:dyDescent="0.3">
      <c r="A259" s="1">
        <v>2015</v>
      </c>
      <c r="B259" s="2">
        <v>2.5099999999999998</v>
      </c>
      <c r="C259" s="1" t="s">
        <v>3</v>
      </c>
    </row>
    <row r="260" spans="1:3" x14ac:dyDescent="0.3">
      <c r="A260" s="1">
        <v>2015</v>
      </c>
      <c r="B260" s="2">
        <v>2.5019999999999998</v>
      </c>
      <c r="C260" s="1" t="s">
        <v>3</v>
      </c>
    </row>
    <row r="261" spans="1:3" x14ac:dyDescent="0.3">
      <c r="A261" s="1">
        <v>2015</v>
      </c>
      <c r="B261" s="2">
        <v>2.5009999999999999</v>
      </c>
      <c r="C261" s="1" t="s">
        <v>3</v>
      </c>
    </row>
    <row r="262" spans="1:3" x14ac:dyDescent="0.3">
      <c r="A262" s="1">
        <v>2015</v>
      </c>
      <c r="B262" s="2">
        <v>2.484</v>
      </c>
      <c r="C262" s="1" t="s">
        <v>3</v>
      </c>
    </row>
    <row r="263" spans="1:3" x14ac:dyDescent="0.3">
      <c r="A263" s="1">
        <v>2015</v>
      </c>
      <c r="B263" s="2">
        <v>2.4809999999999999</v>
      </c>
      <c r="C263" s="1" t="s">
        <v>3</v>
      </c>
    </row>
    <row r="264" spans="1:3" x14ac:dyDescent="0.3">
      <c r="A264" s="1">
        <v>2015</v>
      </c>
      <c r="B264" s="2">
        <v>2.4780000000000002</v>
      </c>
      <c r="C264" s="1" t="s">
        <v>3</v>
      </c>
    </row>
    <row r="265" spans="1:3" x14ac:dyDescent="0.3">
      <c r="A265" s="1">
        <v>2016</v>
      </c>
      <c r="B265" s="2">
        <v>2.5249999999999999</v>
      </c>
      <c r="C265" s="1" t="s">
        <v>4</v>
      </c>
    </row>
    <row r="266" spans="1:3" x14ac:dyDescent="0.3">
      <c r="A266" s="1">
        <v>2016</v>
      </c>
      <c r="B266" s="2">
        <v>2.516</v>
      </c>
      <c r="C266" s="1" t="s">
        <v>3</v>
      </c>
    </row>
    <row r="267" spans="1:3" x14ac:dyDescent="0.3">
      <c r="A267" s="1">
        <v>2016</v>
      </c>
      <c r="B267" s="2">
        <v>2.512</v>
      </c>
      <c r="C267" s="1" t="s">
        <v>4</v>
      </c>
    </row>
    <row r="268" spans="1:3" x14ac:dyDescent="0.3">
      <c r="A268" s="1">
        <v>2016</v>
      </c>
      <c r="B268" s="2">
        <v>2.484</v>
      </c>
      <c r="C268" s="1" t="s">
        <v>4</v>
      </c>
    </row>
    <row r="269" spans="1:3" x14ac:dyDescent="0.3">
      <c r="A269" s="1">
        <v>2016</v>
      </c>
      <c r="B269" s="2">
        <v>2.452</v>
      </c>
      <c r="C269" s="1" t="s">
        <v>3</v>
      </c>
    </row>
    <row r="270" spans="1:3" x14ac:dyDescent="0.3">
      <c r="A270" s="1">
        <v>2016</v>
      </c>
      <c r="B270" s="2">
        <v>2.4470000000000001</v>
      </c>
      <c r="C270" s="1" t="s">
        <v>4</v>
      </c>
    </row>
    <row r="271" spans="1:3" x14ac:dyDescent="0.3">
      <c r="A271" s="1">
        <v>2017</v>
      </c>
      <c r="B271" s="2">
        <v>2.5270000000000001</v>
      </c>
      <c r="C271" s="1" t="s">
        <v>4</v>
      </c>
    </row>
    <row r="272" spans="1:3" x14ac:dyDescent="0.3">
      <c r="A272" s="1">
        <v>2017</v>
      </c>
      <c r="B272" s="2">
        <v>2.52</v>
      </c>
      <c r="C272" s="1" t="s">
        <v>3</v>
      </c>
    </row>
    <row r="273" spans="1:3" x14ac:dyDescent="0.3">
      <c r="A273" s="1">
        <v>2017</v>
      </c>
      <c r="B273" s="2">
        <v>2.508</v>
      </c>
      <c r="C273" s="1" t="s">
        <v>3</v>
      </c>
    </row>
    <row r="274" spans="1:3" x14ac:dyDescent="0.3">
      <c r="A274" s="1">
        <v>2017</v>
      </c>
      <c r="B274" s="2">
        <v>2.5019999999999998</v>
      </c>
      <c r="C274" s="1" t="s">
        <v>4</v>
      </c>
    </row>
    <row r="275" spans="1:3" x14ac:dyDescent="0.3">
      <c r="A275" s="1">
        <v>2017</v>
      </c>
      <c r="B275" s="2">
        <v>2.4940000000000002</v>
      </c>
      <c r="C275" s="1" t="s">
        <v>3</v>
      </c>
    </row>
    <row r="276" spans="1:3" x14ac:dyDescent="0.3">
      <c r="A276" s="1">
        <v>2017</v>
      </c>
      <c r="B276" s="2">
        <v>2.4900000000000002</v>
      </c>
      <c r="C276" s="1" t="s">
        <v>4</v>
      </c>
    </row>
    <row r="277" spans="1:3" x14ac:dyDescent="0.3">
      <c r="A277" s="1">
        <v>2017</v>
      </c>
      <c r="B277" s="2">
        <v>2.488</v>
      </c>
      <c r="C277" s="1" t="s">
        <v>3</v>
      </c>
    </row>
    <row r="278" spans="1:3" x14ac:dyDescent="0.3">
      <c r="A278" s="1">
        <v>2017</v>
      </c>
      <c r="B278" s="2">
        <v>2.4769999999999999</v>
      </c>
      <c r="C278" s="1" t="s">
        <v>3</v>
      </c>
    </row>
    <row r="279" spans="1:3" x14ac:dyDescent="0.3">
      <c r="A279" s="1">
        <v>2017</v>
      </c>
      <c r="B279" s="2">
        <v>2.4750000000000001</v>
      </c>
      <c r="C279" s="1" t="s">
        <v>4</v>
      </c>
    </row>
    <row r="280" spans="1:3" x14ac:dyDescent="0.3">
      <c r="A280" s="1">
        <v>2017</v>
      </c>
      <c r="B280" s="2">
        <v>2.4740000000000002</v>
      </c>
      <c r="C280" s="1" t="s">
        <v>4</v>
      </c>
    </row>
    <row r="281" spans="1:3" x14ac:dyDescent="0.3">
      <c r="A281" s="1">
        <v>2017</v>
      </c>
      <c r="B281" s="2">
        <v>2.4660000000000002</v>
      </c>
      <c r="C281" s="1" t="s">
        <v>4</v>
      </c>
    </row>
    <row r="282" spans="1:3" x14ac:dyDescent="0.3">
      <c r="A282" s="1">
        <v>2017</v>
      </c>
      <c r="B282" s="2">
        <v>2.4359999999999999</v>
      </c>
      <c r="C282" s="1" t="s">
        <v>4</v>
      </c>
    </row>
  </sheetData>
  <sortState xmlns:xlrd2="http://schemas.microsoft.com/office/spreadsheetml/2017/richdata2" ref="A2:C282">
    <sortCondition ref="A2:A28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8B5E-6984-473F-9338-69BE4DDD4ACB}">
  <dimension ref="A1:J282"/>
  <sheetViews>
    <sheetView tabSelected="1" workbookViewId="0">
      <selection activeCell="I9" sqref="I9"/>
    </sheetView>
  </sheetViews>
  <sheetFormatPr defaultRowHeight="15.6" x14ac:dyDescent="0.3"/>
  <cols>
    <col min="3" max="3" width="12.59765625" customWidth="1"/>
    <col min="6" max="6" width="11.69921875" customWidth="1"/>
    <col min="8" max="8" width="39.59765625" customWidth="1"/>
    <col min="9" max="9" width="12" customWidth="1"/>
    <col min="10" max="10" width="11.09765625" customWidth="1"/>
  </cols>
  <sheetData>
    <row r="1" spans="1:10" x14ac:dyDescent="0.3">
      <c r="A1" s="3" t="s">
        <v>0</v>
      </c>
      <c r="B1" s="4" t="s">
        <v>1</v>
      </c>
      <c r="C1" s="3" t="s">
        <v>2</v>
      </c>
      <c r="E1" t="s">
        <v>3</v>
      </c>
      <c r="F1" t="s">
        <v>5</v>
      </c>
      <c r="I1" t="s">
        <v>3</v>
      </c>
      <c r="J1" t="s">
        <v>5</v>
      </c>
    </row>
    <row r="2" spans="1:10" x14ac:dyDescent="0.3">
      <c r="A2" s="1">
        <v>2014</v>
      </c>
      <c r="B2" s="2">
        <v>2.5640000000000001</v>
      </c>
      <c r="C2" s="1" t="s">
        <v>3</v>
      </c>
      <c r="E2" s="2">
        <v>2.5640000000000001</v>
      </c>
      <c r="F2" s="2">
        <v>2.5640000000000001</v>
      </c>
      <c r="H2" t="s">
        <v>6</v>
      </c>
      <c r="I2" s="5">
        <f>AVERAGE(E2:E142)</f>
        <v>2.499142857142858</v>
      </c>
      <c r="J2" s="5">
        <f>AVERAGE(F2:F142)</f>
        <v>2.5023333333333335</v>
      </c>
    </row>
    <row r="3" spans="1:10" x14ac:dyDescent="0.3">
      <c r="A3" s="1">
        <v>1997</v>
      </c>
      <c r="B3" s="2">
        <v>2.5619999999999998</v>
      </c>
      <c r="C3" s="1" t="s">
        <v>3</v>
      </c>
      <c r="E3" s="2">
        <v>2.5619999999999998</v>
      </c>
      <c r="F3" s="2">
        <v>2.5569999999999999</v>
      </c>
      <c r="H3" t="s">
        <v>21</v>
      </c>
      <c r="I3">
        <f>STDEV(E2:E142)</f>
        <v>2.6764244221655555E-2</v>
      </c>
      <c r="J3">
        <f>STDEV(F2:F142)</f>
        <v>2.7060690168230216E-2</v>
      </c>
    </row>
    <row r="4" spans="1:10" x14ac:dyDescent="0.3">
      <c r="A4" s="1">
        <v>1986</v>
      </c>
      <c r="B4" s="2">
        <v>2.5590000000000002</v>
      </c>
      <c r="C4" s="1" t="s">
        <v>3</v>
      </c>
      <c r="E4" s="2">
        <v>2.5590000000000002</v>
      </c>
      <c r="F4" s="2">
        <v>2.556</v>
      </c>
      <c r="H4" t="s">
        <v>22</v>
      </c>
      <c r="I4">
        <f>COUNT(E2:E142)</f>
        <v>140</v>
      </c>
      <c r="J4">
        <f>COUNT(F2:F142)</f>
        <v>141</v>
      </c>
    </row>
    <row r="5" spans="1:10" x14ac:dyDescent="0.3">
      <c r="A5" s="1">
        <v>2013</v>
      </c>
      <c r="B5" s="2">
        <v>2.5579999999999998</v>
      </c>
      <c r="C5" s="1" t="s">
        <v>3</v>
      </c>
      <c r="E5" s="2">
        <v>2.5579999999999998</v>
      </c>
      <c r="F5" s="2">
        <v>2.5539999999999998</v>
      </c>
    </row>
    <row r="6" spans="1:10" x14ac:dyDescent="0.3">
      <c r="A6" s="1">
        <v>1984</v>
      </c>
      <c r="B6" s="2">
        <v>2.5449999999999999</v>
      </c>
      <c r="C6" s="1" t="s">
        <v>3</v>
      </c>
      <c r="E6" s="2">
        <v>2.5449999999999999</v>
      </c>
      <c r="F6" s="2">
        <v>2.5529999999999999</v>
      </c>
      <c r="H6" t="s">
        <v>14</v>
      </c>
      <c r="I6">
        <f>J3^2/I3^2</f>
        <v>1.022275068963802</v>
      </c>
    </row>
    <row r="7" spans="1:10" x14ac:dyDescent="0.3">
      <c r="A7" s="1">
        <v>1994</v>
      </c>
      <c r="B7" s="2">
        <v>2.544</v>
      </c>
      <c r="C7" s="1" t="s">
        <v>3</v>
      </c>
      <c r="E7" s="2">
        <v>2.544</v>
      </c>
      <c r="F7" s="2">
        <v>2.552</v>
      </c>
      <c r="H7" t="s">
        <v>23</v>
      </c>
      <c r="I7">
        <v>1</v>
      </c>
    </row>
    <row r="8" spans="1:10" x14ac:dyDescent="0.3">
      <c r="A8" s="1">
        <v>1995</v>
      </c>
      <c r="B8" s="2">
        <v>2.544</v>
      </c>
      <c r="C8" s="1" t="s">
        <v>3</v>
      </c>
      <c r="E8" s="2">
        <v>2.544</v>
      </c>
      <c r="F8" s="2">
        <v>2.548</v>
      </c>
      <c r="H8" t="s">
        <v>27</v>
      </c>
    </row>
    <row r="9" spans="1:10" x14ac:dyDescent="0.3">
      <c r="A9" s="1">
        <v>2010</v>
      </c>
      <c r="B9" s="2">
        <v>2.54</v>
      </c>
      <c r="C9" s="1" t="s">
        <v>3</v>
      </c>
      <c r="E9" s="2">
        <v>2.54</v>
      </c>
      <c r="F9" s="2">
        <v>2.5449999999999999</v>
      </c>
      <c r="H9" t="s">
        <v>28</v>
      </c>
      <c r="I9">
        <f>ABS((J2-I2))/SQRT(((J3^2)/J4)+((I3^2)/I4))</f>
        <v>0.99362917327947586</v>
      </c>
    </row>
    <row r="10" spans="1:10" x14ac:dyDescent="0.3">
      <c r="A10" s="1">
        <v>2001</v>
      </c>
      <c r="B10" s="2">
        <v>2.5390000000000001</v>
      </c>
      <c r="C10" s="1" t="s">
        <v>3</v>
      </c>
      <c r="E10" s="2">
        <v>2.5390000000000001</v>
      </c>
      <c r="F10" s="2">
        <v>2.5449999999999999</v>
      </c>
      <c r="H10" t="s">
        <v>25</v>
      </c>
      <c r="I10">
        <v>1.98</v>
      </c>
    </row>
    <row r="11" spans="1:10" x14ac:dyDescent="0.3">
      <c r="A11" s="1">
        <v>1986</v>
      </c>
      <c r="B11" s="2">
        <v>2.5379999999999998</v>
      </c>
      <c r="C11" s="1" t="s">
        <v>3</v>
      </c>
      <c r="E11" s="2">
        <v>2.5379999999999998</v>
      </c>
      <c r="F11" s="2">
        <v>2.5419999999999998</v>
      </c>
      <c r="H11" t="s">
        <v>18</v>
      </c>
      <c r="I11">
        <f>I14/I15</f>
        <v>278.96599468237127</v>
      </c>
    </row>
    <row r="12" spans="1:10" x14ac:dyDescent="0.3">
      <c r="A12" s="1">
        <v>2002</v>
      </c>
      <c r="B12" s="2">
        <v>2.5379999999999998</v>
      </c>
      <c r="C12" s="1" t="s">
        <v>3</v>
      </c>
      <c r="E12" s="2">
        <v>2.5379999999999998</v>
      </c>
      <c r="F12" s="2">
        <v>2.5409999999999999</v>
      </c>
      <c r="H12" t="s">
        <v>19</v>
      </c>
      <c r="I12">
        <f>(J3^2)/J4</f>
        <v>5.1934819317797981E-6</v>
      </c>
    </row>
    <row r="13" spans="1:10" x14ac:dyDescent="0.3">
      <c r="A13" s="1">
        <v>2012</v>
      </c>
      <c r="B13" s="2">
        <v>2.536</v>
      </c>
      <c r="C13" s="1" t="s">
        <v>3</v>
      </c>
      <c r="E13" s="2">
        <v>2.536</v>
      </c>
      <c r="F13" s="2">
        <v>2.5409999999999999</v>
      </c>
      <c r="H13" t="s">
        <v>20</v>
      </c>
      <c r="I13">
        <f>(I3^2)/I4</f>
        <v>5.1166054911173056E-6</v>
      </c>
    </row>
    <row r="14" spans="1:10" x14ac:dyDescent="0.3">
      <c r="A14" s="1">
        <v>2012</v>
      </c>
      <c r="B14" s="2">
        <v>2.5350000000000001</v>
      </c>
      <c r="C14" s="1" t="s">
        <v>3</v>
      </c>
      <c r="E14" s="2">
        <v>2.5350000000000001</v>
      </c>
      <c r="F14" s="2">
        <v>2.5390000000000001</v>
      </c>
      <c r="H14" t="s">
        <v>29</v>
      </c>
      <c r="I14">
        <f>((I12+I13)^2)</f>
        <v>1.0629790266778104E-10</v>
      </c>
    </row>
    <row r="15" spans="1:10" x14ac:dyDescent="0.3">
      <c r="A15" s="1">
        <v>2015</v>
      </c>
      <c r="B15" s="2">
        <v>2.5350000000000001</v>
      </c>
      <c r="C15" s="1" t="s">
        <v>3</v>
      </c>
      <c r="E15" s="2">
        <v>2.5350000000000001</v>
      </c>
      <c r="F15" s="2">
        <v>2.5379999999999998</v>
      </c>
      <c r="H15" t="s">
        <v>30</v>
      </c>
      <c r="I15">
        <f>((I12^2)/139)+((I13^2)/140)</f>
        <v>3.8104250946001885E-13</v>
      </c>
    </row>
    <row r="16" spans="1:10" x14ac:dyDescent="0.3">
      <c r="A16" s="1">
        <v>1994</v>
      </c>
      <c r="B16" s="2">
        <v>2.5329999999999999</v>
      </c>
      <c r="C16" s="1" t="s">
        <v>3</v>
      </c>
      <c r="E16" s="2">
        <v>2.5329999999999999</v>
      </c>
      <c r="F16" s="2">
        <v>2.536</v>
      </c>
      <c r="H16" t="s">
        <v>31</v>
      </c>
    </row>
    <row r="17" spans="1:6" x14ac:dyDescent="0.3">
      <c r="A17" s="1">
        <v>2013</v>
      </c>
      <c r="B17" s="2">
        <v>2.5310000000000001</v>
      </c>
      <c r="C17" s="1" t="s">
        <v>3</v>
      </c>
      <c r="E17" s="2">
        <v>2.5310000000000001</v>
      </c>
      <c r="F17" s="2">
        <v>2.5350000000000001</v>
      </c>
    </row>
    <row r="18" spans="1:6" x14ac:dyDescent="0.3">
      <c r="A18" s="1">
        <v>2006</v>
      </c>
      <c r="B18" s="2">
        <v>2.5299999999999998</v>
      </c>
      <c r="C18" s="1" t="s">
        <v>3</v>
      </c>
      <c r="E18" s="2">
        <v>2.5299999999999998</v>
      </c>
      <c r="F18" s="2">
        <v>2.5350000000000001</v>
      </c>
    </row>
    <row r="19" spans="1:6" x14ac:dyDescent="0.3">
      <c r="A19" s="1">
        <v>2015</v>
      </c>
      <c r="B19" s="2">
        <v>2.5289999999999999</v>
      </c>
      <c r="C19" s="1" t="s">
        <v>3</v>
      </c>
      <c r="E19" s="2">
        <v>2.5289999999999999</v>
      </c>
      <c r="F19" s="2">
        <v>2.5350000000000001</v>
      </c>
    </row>
    <row r="20" spans="1:6" x14ac:dyDescent="0.3">
      <c r="A20" s="1">
        <v>2015</v>
      </c>
      <c r="B20" s="2">
        <v>2.5289999999999999</v>
      </c>
      <c r="C20" s="1" t="s">
        <v>3</v>
      </c>
      <c r="E20" s="2">
        <v>2.5289999999999999</v>
      </c>
      <c r="F20" s="2">
        <v>2.5329999999999999</v>
      </c>
    </row>
    <row r="21" spans="1:6" x14ac:dyDescent="0.3">
      <c r="A21" s="1">
        <v>1991</v>
      </c>
      <c r="B21" s="2">
        <v>2.5259999999999998</v>
      </c>
      <c r="C21" s="1" t="s">
        <v>3</v>
      </c>
      <c r="E21" s="2">
        <v>2.5259999999999998</v>
      </c>
      <c r="F21" s="2">
        <v>2.5329999999999999</v>
      </c>
    </row>
    <row r="22" spans="1:6" x14ac:dyDescent="0.3">
      <c r="A22" s="1">
        <v>1999</v>
      </c>
      <c r="B22" s="2">
        <v>2.5259999999999998</v>
      </c>
      <c r="C22" s="1" t="s">
        <v>3</v>
      </c>
      <c r="E22" s="2">
        <v>2.5259999999999998</v>
      </c>
      <c r="F22" s="2">
        <v>2.532</v>
      </c>
    </row>
    <row r="23" spans="1:6" x14ac:dyDescent="0.3">
      <c r="A23" s="1">
        <v>1994</v>
      </c>
      <c r="B23" s="2">
        <v>2.5249999999999999</v>
      </c>
      <c r="C23" s="1" t="s">
        <v>3</v>
      </c>
      <c r="E23" s="2">
        <v>2.5249999999999999</v>
      </c>
      <c r="F23" s="2">
        <v>2.532</v>
      </c>
    </row>
    <row r="24" spans="1:6" x14ac:dyDescent="0.3">
      <c r="A24" s="1">
        <v>2007</v>
      </c>
      <c r="B24" s="2">
        <v>2.5249999999999999</v>
      </c>
      <c r="C24" s="1" t="s">
        <v>3</v>
      </c>
      <c r="E24" s="2">
        <v>2.5249999999999999</v>
      </c>
      <c r="F24" s="2">
        <v>2.5310000000000001</v>
      </c>
    </row>
    <row r="25" spans="1:6" x14ac:dyDescent="0.3">
      <c r="A25" s="1">
        <v>1988</v>
      </c>
      <c r="B25" s="2">
        <v>2.5230000000000001</v>
      </c>
      <c r="C25" s="1" t="s">
        <v>3</v>
      </c>
      <c r="E25" s="2">
        <v>2.5230000000000001</v>
      </c>
      <c r="F25" s="2">
        <v>2.5310000000000001</v>
      </c>
    </row>
    <row r="26" spans="1:6" x14ac:dyDescent="0.3">
      <c r="A26" s="1">
        <v>1995</v>
      </c>
      <c r="B26" s="2">
        <v>2.5209999999999999</v>
      </c>
      <c r="C26" s="1" t="s">
        <v>3</v>
      </c>
      <c r="E26" s="2">
        <v>2.5209999999999999</v>
      </c>
      <c r="F26" s="2">
        <v>2.5289999999999999</v>
      </c>
    </row>
    <row r="27" spans="1:6" x14ac:dyDescent="0.3">
      <c r="A27" s="1">
        <v>1987</v>
      </c>
      <c r="B27" s="2">
        <v>2.52</v>
      </c>
      <c r="C27" s="1" t="s">
        <v>3</v>
      </c>
      <c r="E27" s="2">
        <v>2.52</v>
      </c>
      <c r="F27" s="2">
        <v>2.528</v>
      </c>
    </row>
    <row r="28" spans="1:6" x14ac:dyDescent="0.3">
      <c r="A28" s="1">
        <v>1997</v>
      </c>
      <c r="B28" s="2">
        <v>2.52</v>
      </c>
      <c r="C28" s="1" t="s">
        <v>3</v>
      </c>
      <c r="E28" s="2">
        <v>2.52</v>
      </c>
      <c r="F28" s="2">
        <v>2.5270000000000001</v>
      </c>
    </row>
    <row r="29" spans="1:6" x14ac:dyDescent="0.3">
      <c r="A29" s="1">
        <v>2017</v>
      </c>
      <c r="B29" s="2">
        <v>2.52</v>
      </c>
      <c r="C29" s="1" t="s">
        <v>3</v>
      </c>
      <c r="E29" s="2">
        <v>2.52</v>
      </c>
      <c r="F29" s="2">
        <v>2.5270000000000001</v>
      </c>
    </row>
    <row r="30" spans="1:6" x14ac:dyDescent="0.3">
      <c r="A30" s="1">
        <v>2013</v>
      </c>
      <c r="B30" s="2">
        <v>2.5190000000000001</v>
      </c>
      <c r="C30" s="1" t="s">
        <v>3</v>
      </c>
      <c r="E30" s="2">
        <v>2.5190000000000001</v>
      </c>
      <c r="F30" s="2">
        <v>2.5249999999999999</v>
      </c>
    </row>
    <row r="31" spans="1:6" x14ac:dyDescent="0.3">
      <c r="A31" s="1">
        <v>1985</v>
      </c>
      <c r="B31" s="2">
        <v>2.5179999999999998</v>
      </c>
      <c r="C31" s="1" t="s">
        <v>3</v>
      </c>
      <c r="E31" s="2">
        <v>2.5179999999999998</v>
      </c>
      <c r="F31" s="2">
        <v>2.5249999999999999</v>
      </c>
    </row>
    <row r="32" spans="1:6" x14ac:dyDescent="0.3">
      <c r="A32" s="1">
        <v>1983</v>
      </c>
      <c r="B32" s="2">
        <v>2.5169999999999999</v>
      </c>
      <c r="C32" s="1" t="s">
        <v>3</v>
      </c>
      <c r="E32" s="2">
        <v>2.5169999999999999</v>
      </c>
      <c r="F32" s="2">
        <v>2.5249999999999999</v>
      </c>
    </row>
    <row r="33" spans="1:6" x14ac:dyDescent="0.3">
      <c r="A33" s="1">
        <v>1985</v>
      </c>
      <c r="B33" s="2">
        <v>2.5169999999999999</v>
      </c>
      <c r="C33" s="1" t="s">
        <v>3</v>
      </c>
      <c r="E33" s="2">
        <v>2.5169999999999999</v>
      </c>
      <c r="F33" s="2">
        <v>2.524</v>
      </c>
    </row>
    <row r="34" spans="1:6" x14ac:dyDescent="0.3">
      <c r="A34" s="1">
        <v>1990</v>
      </c>
      <c r="B34" s="2">
        <v>2.5169999999999999</v>
      </c>
      <c r="C34" s="1" t="s">
        <v>3</v>
      </c>
      <c r="E34" s="2">
        <v>2.5169999999999999</v>
      </c>
      <c r="F34" s="2">
        <v>2.524</v>
      </c>
    </row>
    <row r="35" spans="1:6" x14ac:dyDescent="0.3">
      <c r="A35" s="1">
        <v>2002</v>
      </c>
      <c r="B35" s="2">
        <v>2.5169999999999999</v>
      </c>
      <c r="C35" s="1" t="s">
        <v>3</v>
      </c>
      <c r="E35" s="2">
        <v>2.5169999999999999</v>
      </c>
      <c r="F35" s="2">
        <v>2.524</v>
      </c>
    </row>
    <row r="36" spans="1:6" x14ac:dyDescent="0.3">
      <c r="A36" s="1">
        <v>1987</v>
      </c>
      <c r="B36" s="2">
        <v>2.516</v>
      </c>
      <c r="C36" s="1" t="s">
        <v>3</v>
      </c>
      <c r="E36" s="2">
        <v>2.516</v>
      </c>
      <c r="F36" s="2">
        <v>2.5230000000000001</v>
      </c>
    </row>
    <row r="37" spans="1:6" x14ac:dyDescent="0.3">
      <c r="A37" s="1">
        <v>1990</v>
      </c>
      <c r="B37" s="2">
        <v>2.516</v>
      </c>
      <c r="C37" s="1" t="s">
        <v>3</v>
      </c>
      <c r="E37" s="2">
        <v>2.516</v>
      </c>
      <c r="F37" s="2">
        <v>2.5230000000000001</v>
      </c>
    </row>
    <row r="38" spans="1:6" x14ac:dyDescent="0.3">
      <c r="A38" s="1">
        <v>1994</v>
      </c>
      <c r="B38" s="2">
        <v>2.516</v>
      </c>
      <c r="C38" s="1" t="s">
        <v>3</v>
      </c>
      <c r="E38" s="2">
        <v>2.516</v>
      </c>
      <c r="F38" s="2">
        <v>2.5209999999999999</v>
      </c>
    </row>
    <row r="39" spans="1:6" x14ac:dyDescent="0.3">
      <c r="A39" s="1">
        <v>2006</v>
      </c>
      <c r="B39" s="2">
        <v>2.516</v>
      </c>
      <c r="C39" s="1" t="s">
        <v>3</v>
      </c>
      <c r="E39" s="2">
        <v>2.516</v>
      </c>
      <c r="F39" s="2">
        <v>2.5209999999999999</v>
      </c>
    </row>
    <row r="40" spans="1:6" x14ac:dyDescent="0.3">
      <c r="A40" s="1">
        <v>2016</v>
      </c>
      <c r="B40" s="2">
        <v>2.516</v>
      </c>
      <c r="C40" s="1" t="s">
        <v>3</v>
      </c>
      <c r="E40" s="2">
        <v>2.516</v>
      </c>
      <c r="F40" s="2">
        <v>2.5209999999999999</v>
      </c>
    </row>
    <row r="41" spans="1:6" x14ac:dyDescent="0.3">
      <c r="A41" s="1">
        <v>1999</v>
      </c>
      <c r="B41" s="2">
        <v>2.5139999999999998</v>
      </c>
      <c r="C41" s="1" t="s">
        <v>3</v>
      </c>
      <c r="E41" s="2">
        <v>2.5139999999999998</v>
      </c>
      <c r="F41" s="2">
        <v>2.52</v>
      </c>
    </row>
    <row r="42" spans="1:6" x14ac:dyDescent="0.3">
      <c r="A42" s="1">
        <v>2009</v>
      </c>
      <c r="B42" s="2">
        <v>2.5139999999999998</v>
      </c>
      <c r="C42" s="1" t="s">
        <v>3</v>
      </c>
      <c r="E42" s="2">
        <v>2.5139999999999998</v>
      </c>
      <c r="F42" s="2">
        <v>2.52</v>
      </c>
    </row>
    <row r="43" spans="1:6" x14ac:dyDescent="0.3">
      <c r="A43" s="1">
        <v>1999</v>
      </c>
      <c r="B43" s="2">
        <v>2.5129999999999999</v>
      </c>
      <c r="C43" s="1" t="s">
        <v>3</v>
      </c>
      <c r="E43" s="2">
        <v>2.5129999999999999</v>
      </c>
      <c r="F43" s="2">
        <v>2.5190000000000001</v>
      </c>
    </row>
    <row r="44" spans="1:6" x14ac:dyDescent="0.3">
      <c r="A44" s="1">
        <v>1999</v>
      </c>
      <c r="B44" s="2">
        <v>2.5129999999999999</v>
      </c>
      <c r="C44" s="1" t="s">
        <v>3</v>
      </c>
      <c r="E44" s="2">
        <v>2.5129999999999999</v>
      </c>
      <c r="F44" s="2">
        <v>2.5179999999999998</v>
      </c>
    </row>
    <row r="45" spans="1:6" x14ac:dyDescent="0.3">
      <c r="A45" s="1">
        <v>2014</v>
      </c>
      <c r="B45" s="2">
        <v>2.5129999999999999</v>
      </c>
      <c r="C45" s="1" t="s">
        <v>3</v>
      </c>
      <c r="E45" s="2">
        <v>2.5129999999999999</v>
      </c>
      <c r="F45" s="2">
        <v>2.5169999999999999</v>
      </c>
    </row>
    <row r="46" spans="1:6" x14ac:dyDescent="0.3">
      <c r="A46" s="1">
        <v>2006</v>
      </c>
      <c r="B46" s="2">
        <v>2.5110000000000001</v>
      </c>
      <c r="C46" s="1" t="s">
        <v>3</v>
      </c>
      <c r="E46" s="2">
        <v>2.5110000000000001</v>
      </c>
      <c r="F46" s="2">
        <v>2.5169999999999999</v>
      </c>
    </row>
    <row r="47" spans="1:6" x14ac:dyDescent="0.3">
      <c r="A47" s="1">
        <v>2009</v>
      </c>
      <c r="B47" s="2">
        <v>2.5110000000000001</v>
      </c>
      <c r="C47" s="1" t="s">
        <v>3</v>
      </c>
      <c r="E47" s="2">
        <v>2.5110000000000001</v>
      </c>
      <c r="F47" s="2">
        <v>2.516</v>
      </c>
    </row>
    <row r="48" spans="1:6" x14ac:dyDescent="0.3">
      <c r="A48" s="1">
        <v>2012</v>
      </c>
      <c r="B48" s="2">
        <v>2.5110000000000001</v>
      </c>
      <c r="C48" s="1" t="s">
        <v>3</v>
      </c>
      <c r="E48" s="2">
        <v>2.5110000000000001</v>
      </c>
      <c r="F48" s="2">
        <v>2.516</v>
      </c>
    </row>
    <row r="49" spans="1:6" x14ac:dyDescent="0.3">
      <c r="A49" s="1">
        <v>2001</v>
      </c>
      <c r="B49" s="2">
        <v>2.5099999999999998</v>
      </c>
      <c r="C49" s="1" t="s">
        <v>3</v>
      </c>
      <c r="E49" s="2">
        <v>2.5099999999999998</v>
      </c>
      <c r="F49" s="2">
        <v>2.5150000000000001</v>
      </c>
    </row>
    <row r="50" spans="1:6" x14ac:dyDescent="0.3">
      <c r="A50" s="1">
        <v>2014</v>
      </c>
      <c r="B50" s="2">
        <v>2.5099999999999998</v>
      </c>
      <c r="C50" s="1" t="s">
        <v>3</v>
      </c>
      <c r="E50" s="2">
        <v>2.5099999999999998</v>
      </c>
      <c r="F50" s="2">
        <v>2.5150000000000001</v>
      </c>
    </row>
    <row r="51" spans="1:6" x14ac:dyDescent="0.3">
      <c r="A51" s="1">
        <v>2015</v>
      </c>
      <c r="B51" s="2">
        <v>2.5099999999999998</v>
      </c>
      <c r="C51" s="1" t="s">
        <v>3</v>
      </c>
      <c r="E51" s="2">
        <v>2.5099999999999998</v>
      </c>
      <c r="F51" s="2">
        <v>2.5139999999999998</v>
      </c>
    </row>
    <row r="52" spans="1:6" x14ac:dyDescent="0.3">
      <c r="A52" s="1">
        <v>2004</v>
      </c>
      <c r="B52" s="2">
        <v>2.5089999999999999</v>
      </c>
      <c r="C52" s="1" t="s">
        <v>3</v>
      </c>
      <c r="E52" s="2">
        <v>2.5089999999999999</v>
      </c>
      <c r="F52" s="2">
        <v>2.5139999999999998</v>
      </c>
    </row>
    <row r="53" spans="1:6" x14ac:dyDescent="0.3">
      <c r="A53" s="1">
        <v>2007</v>
      </c>
      <c r="B53" s="2">
        <v>2.5089999999999999</v>
      </c>
      <c r="C53" s="1" t="s">
        <v>3</v>
      </c>
      <c r="E53" s="2">
        <v>2.5089999999999999</v>
      </c>
      <c r="F53" s="2">
        <v>2.5139999999999998</v>
      </c>
    </row>
    <row r="54" spans="1:6" x14ac:dyDescent="0.3">
      <c r="A54" s="1">
        <v>1983</v>
      </c>
      <c r="B54" s="2">
        <v>2.508</v>
      </c>
      <c r="C54" s="1" t="s">
        <v>3</v>
      </c>
      <c r="E54" s="2">
        <v>2.508</v>
      </c>
      <c r="F54" s="2">
        <v>2.5129999999999999</v>
      </c>
    </row>
    <row r="55" spans="1:6" x14ac:dyDescent="0.3">
      <c r="A55" s="1">
        <v>2000</v>
      </c>
      <c r="B55" s="2">
        <v>2.508</v>
      </c>
      <c r="C55" s="1" t="s">
        <v>3</v>
      </c>
      <c r="E55" s="2">
        <v>2.508</v>
      </c>
      <c r="F55" s="2">
        <v>2.512</v>
      </c>
    </row>
    <row r="56" spans="1:6" x14ac:dyDescent="0.3">
      <c r="A56" s="1">
        <v>2005</v>
      </c>
      <c r="B56" s="2">
        <v>2.508</v>
      </c>
      <c r="C56" s="1" t="s">
        <v>3</v>
      </c>
      <c r="E56" s="2">
        <v>2.508</v>
      </c>
      <c r="F56" s="2">
        <v>2.512</v>
      </c>
    </row>
    <row r="57" spans="1:6" x14ac:dyDescent="0.3">
      <c r="A57" s="1">
        <v>2010</v>
      </c>
      <c r="B57" s="2">
        <v>2.508</v>
      </c>
      <c r="C57" s="1" t="s">
        <v>3</v>
      </c>
      <c r="E57" s="2">
        <v>2.508</v>
      </c>
      <c r="F57" s="2">
        <v>2.5110000000000001</v>
      </c>
    </row>
    <row r="58" spans="1:6" x14ac:dyDescent="0.3">
      <c r="A58" s="1">
        <v>2017</v>
      </c>
      <c r="B58" s="2">
        <v>2.508</v>
      </c>
      <c r="C58" s="1" t="s">
        <v>3</v>
      </c>
      <c r="E58" s="2">
        <v>2.508</v>
      </c>
      <c r="F58" s="2">
        <v>2.5110000000000001</v>
      </c>
    </row>
    <row r="59" spans="1:6" x14ac:dyDescent="0.3">
      <c r="A59" s="1">
        <v>2011</v>
      </c>
      <c r="B59" s="2">
        <v>2.5070000000000001</v>
      </c>
      <c r="C59" s="1" t="s">
        <v>3</v>
      </c>
      <c r="E59" s="2">
        <v>2.5070000000000001</v>
      </c>
      <c r="F59" s="2">
        <v>2.5110000000000001</v>
      </c>
    </row>
    <row r="60" spans="1:6" x14ac:dyDescent="0.3">
      <c r="A60" s="1">
        <v>2013</v>
      </c>
      <c r="B60" s="2">
        <v>2.5070000000000001</v>
      </c>
      <c r="C60" s="1" t="s">
        <v>3</v>
      </c>
      <c r="E60" s="2">
        <v>2.5070000000000001</v>
      </c>
      <c r="F60" s="2">
        <v>2.5110000000000001</v>
      </c>
    </row>
    <row r="61" spans="1:6" x14ac:dyDescent="0.3">
      <c r="A61" s="1">
        <v>1998</v>
      </c>
      <c r="B61" s="2">
        <v>2.5059999999999998</v>
      </c>
      <c r="C61" s="1" t="s">
        <v>3</v>
      </c>
      <c r="E61" s="2">
        <v>2.5059999999999998</v>
      </c>
      <c r="F61" s="2">
        <v>2.5099999999999998</v>
      </c>
    </row>
    <row r="62" spans="1:6" x14ac:dyDescent="0.3">
      <c r="A62" s="1">
        <v>1997</v>
      </c>
      <c r="B62" s="2">
        <v>2.5049999999999999</v>
      </c>
      <c r="C62" s="1" t="s">
        <v>3</v>
      </c>
      <c r="E62" s="2">
        <v>2.5049999999999999</v>
      </c>
      <c r="F62" s="2">
        <v>2.508</v>
      </c>
    </row>
    <row r="63" spans="1:6" x14ac:dyDescent="0.3">
      <c r="A63" s="1">
        <v>1984</v>
      </c>
      <c r="B63" s="2">
        <v>2.5030000000000001</v>
      </c>
      <c r="C63" s="1" t="s">
        <v>3</v>
      </c>
      <c r="E63" s="2">
        <v>2.5030000000000001</v>
      </c>
      <c r="F63" s="2">
        <v>2.5049999999999999</v>
      </c>
    </row>
    <row r="64" spans="1:6" x14ac:dyDescent="0.3">
      <c r="A64" s="1">
        <v>1987</v>
      </c>
      <c r="B64" s="2">
        <v>2.5030000000000001</v>
      </c>
      <c r="C64" s="1" t="s">
        <v>3</v>
      </c>
      <c r="E64" s="2">
        <v>2.5030000000000001</v>
      </c>
      <c r="F64" s="2">
        <v>2.5049999999999999</v>
      </c>
    </row>
    <row r="65" spans="1:6" x14ac:dyDescent="0.3">
      <c r="A65" s="1">
        <v>1989</v>
      </c>
      <c r="B65" s="2">
        <v>2.5030000000000001</v>
      </c>
      <c r="C65" s="1" t="s">
        <v>3</v>
      </c>
      <c r="E65" s="2">
        <v>2.5030000000000001</v>
      </c>
      <c r="F65" s="2">
        <v>2.5049999999999999</v>
      </c>
    </row>
    <row r="66" spans="1:6" x14ac:dyDescent="0.3">
      <c r="A66" s="1">
        <v>1993</v>
      </c>
      <c r="B66" s="2">
        <v>2.5030000000000001</v>
      </c>
      <c r="C66" s="1" t="s">
        <v>3</v>
      </c>
      <c r="E66" s="2">
        <v>2.5030000000000001</v>
      </c>
      <c r="F66" s="2">
        <v>2.504</v>
      </c>
    </row>
    <row r="67" spans="1:6" x14ac:dyDescent="0.3">
      <c r="A67" s="1">
        <v>2012</v>
      </c>
      <c r="B67" s="2">
        <v>2.5030000000000001</v>
      </c>
      <c r="C67" s="1" t="s">
        <v>3</v>
      </c>
      <c r="E67" s="2">
        <v>2.5030000000000001</v>
      </c>
      <c r="F67" s="2">
        <v>2.504</v>
      </c>
    </row>
    <row r="68" spans="1:6" x14ac:dyDescent="0.3">
      <c r="A68" s="1">
        <v>1990</v>
      </c>
      <c r="B68" s="2">
        <v>2.5019999999999998</v>
      </c>
      <c r="C68" s="1" t="s">
        <v>3</v>
      </c>
      <c r="E68" s="2">
        <v>2.5019999999999998</v>
      </c>
      <c r="F68" s="2">
        <v>2.504</v>
      </c>
    </row>
    <row r="69" spans="1:6" x14ac:dyDescent="0.3">
      <c r="A69" s="1">
        <v>2015</v>
      </c>
      <c r="B69" s="2">
        <v>2.5019999999999998</v>
      </c>
      <c r="C69" s="1" t="s">
        <v>3</v>
      </c>
      <c r="E69" s="2">
        <v>2.5019999999999998</v>
      </c>
      <c r="F69" s="2">
        <v>2.504</v>
      </c>
    </row>
    <row r="70" spans="1:6" x14ac:dyDescent="0.3">
      <c r="A70" s="1">
        <v>2015</v>
      </c>
      <c r="B70" s="2">
        <v>2.5009999999999999</v>
      </c>
      <c r="C70" s="1" t="s">
        <v>3</v>
      </c>
      <c r="E70" s="2">
        <v>2.5009999999999999</v>
      </c>
      <c r="F70" s="2">
        <v>2.504</v>
      </c>
    </row>
    <row r="71" spans="1:6" x14ac:dyDescent="0.3">
      <c r="A71" s="1">
        <v>1998</v>
      </c>
      <c r="B71" s="2">
        <v>2.5</v>
      </c>
      <c r="C71" s="1" t="s">
        <v>3</v>
      </c>
      <c r="E71" s="2">
        <v>2.5</v>
      </c>
      <c r="F71" s="2">
        <v>2.5030000000000001</v>
      </c>
    </row>
    <row r="72" spans="1:6" x14ac:dyDescent="0.3">
      <c r="A72" s="1">
        <v>2010</v>
      </c>
      <c r="B72" s="2">
        <v>2.5</v>
      </c>
      <c r="C72" s="1" t="s">
        <v>3</v>
      </c>
      <c r="E72" s="2">
        <v>2.5</v>
      </c>
      <c r="F72" s="2">
        <v>2.5030000000000001</v>
      </c>
    </row>
    <row r="73" spans="1:6" x14ac:dyDescent="0.3">
      <c r="A73" s="1">
        <v>1983</v>
      </c>
      <c r="B73" s="2">
        <v>2.4990000000000001</v>
      </c>
      <c r="C73" s="1" t="s">
        <v>3</v>
      </c>
      <c r="E73" s="2">
        <v>2.4990000000000001</v>
      </c>
      <c r="F73" s="2">
        <v>2.5019999999999998</v>
      </c>
    </row>
    <row r="74" spans="1:6" x14ac:dyDescent="0.3">
      <c r="A74" s="1">
        <v>1996</v>
      </c>
      <c r="B74" s="2">
        <v>2.4980000000000002</v>
      </c>
      <c r="C74" s="1" t="s">
        <v>3</v>
      </c>
      <c r="E74" s="2">
        <v>2.4980000000000002</v>
      </c>
      <c r="F74" s="2">
        <v>2.5019999999999998</v>
      </c>
    </row>
    <row r="75" spans="1:6" x14ac:dyDescent="0.3">
      <c r="A75" s="1">
        <v>2010</v>
      </c>
      <c r="B75" s="2">
        <v>2.4980000000000002</v>
      </c>
      <c r="C75" s="1" t="s">
        <v>3</v>
      </c>
      <c r="E75" s="2">
        <v>2.4980000000000002</v>
      </c>
      <c r="F75" s="2">
        <v>2.5019999999999998</v>
      </c>
    </row>
    <row r="76" spans="1:6" x14ac:dyDescent="0.3">
      <c r="A76" s="1">
        <v>2010</v>
      </c>
      <c r="B76" s="2">
        <v>2.4980000000000002</v>
      </c>
      <c r="C76" s="1" t="s">
        <v>3</v>
      </c>
      <c r="E76" s="2">
        <v>2.4980000000000002</v>
      </c>
      <c r="F76" s="2">
        <v>2.5009999999999999</v>
      </c>
    </row>
    <row r="77" spans="1:6" x14ac:dyDescent="0.3">
      <c r="A77" s="1">
        <v>1983</v>
      </c>
      <c r="B77" s="2">
        <v>2.4969999999999999</v>
      </c>
      <c r="C77" s="1" t="s">
        <v>3</v>
      </c>
      <c r="E77" s="2">
        <v>2.4969999999999999</v>
      </c>
      <c r="F77" s="2">
        <v>2.4990000000000001</v>
      </c>
    </row>
    <row r="78" spans="1:6" x14ac:dyDescent="0.3">
      <c r="A78" s="1">
        <v>1987</v>
      </c>
      <c r="B78" s="2">
        <v>2.4969999999999999</v>
      </c>
      <c r="C78" s="1" t="s">
        <v>3</v>
      </c>
      <c r="E78" s="2">
        <v>2.4969999999999999</v>
      </c>
      <c r="F78" s="2">
        <v>2.4980000000000002</v>
      </c>
    </row>
    <row r="79" spans="1:6" x14ac:dyDescent="0.3">
      <c r="A79" s="1">
        <v>1997</v>
      </c>
      <c r="B79" s="2">
        <v>2.4969999999999999</v>
      </c>
      <c r="C79" s="1" t="s">
        <v>3</v>
      </c>
      <c r="E79" s="2">
        <v>2.4969999999999999</v>
      </c>
      <c r="F79" s="2">
        <v>2.4969999999999999</v>
      </c>
    </row>
    <row r="80" spans="1:6" x14ac:dyDescent="0.3">
      <c r="A80" s="1">
        <v>2001</v>
      </c>
      <c r="B80" s="2">
        <v>2.4969999999999999</v>
      </c>
      <c r="C80" s="1" t="s">
        <v>3</v>
      </c>
      <c r="E80" s="2">
        <v>2.4969999999999999</v>
      </c>
      <c r="F80" s="2">
        <v>2.4969999999999999</v>
      </c>
    </row>
    <row r="81" spans="1:6" x14ac:dyDescent="0.3">
      <c r="A81" s="1">
        <v>2007</v>
      </c>
      <c r="B81" s="2">
        <v>2.4969999999999999</v>
      </c>
      <c r="C81" s="1" t="s">
        <v>3</v>
      </c>
      <c r="E81" s="2">
        <v>2.4969999999999999</v>
      </c>
      <c r="F81" s="2">
        <v>2.496</v>
      </c>
    </row>
    <row r="82" spans="1:6" x14ac:dyDescent="0.3">
      <c r="A82" s="1">
        <v>1985</v>
      </c>
      <c r="B82" s="2">
        <v>2.4940000000000002</v>
      </c>
      <c r="C82" s="1" t="s">
        <v>3</v>
      </c>
      <c r="E82" s="2">
        <v>2.4940000000000002</v>
      </c>
      <c r="F82" s="2">
        <v>2.4950000000000001</v>
      </c>
    </row>
    <row r="83" spans="1:6" x14ac:dyDescent="0.3">
      <c r="A83" s="1">
        <v>1994</v>
      </c>
      <c r="B83" s="2">
        <v>2.4940000000000002</v>
      </c>
      <c r="C83" s="1" t="s">
        <v>3</v>
      </c>
      <c r="E83" s="2">
        <v>2.4940000000000002</v>
      </c>
      <c r="F83" s="2">
        <v>2.4950000000000001</v>
      </c>
    </row>
    <row r="84" spans="1:6" x14ac:dyDescent="0.3">
      <c r="A84" s="1">
        <v>1998</v>
      </c>
      <c r="B84" s="2">
        <v>2.4940000000000002</v>
      </c>
      <c r="C84" s="1" t="s">
        <v>3</v>
      </c>
      <c r="E84" s="2">
        <v>2.4940000000000002</v>
      </c>
      <c r="F84" s="2">
        <v>2.4950000000000001</v>
      </c>
    </row>
    <row r="85" spans="1:6" x14ac:dyDescent="0.3">
      <c r="A85" s="1">
        <v>2017</v>
      </c>
      <c r="B85" s="2">
        <v>2.4940000000000002</v>
      </c>
      <c r="C85" s="1" t="s">
        <v>3</v>
      </c>
      <c r="E85" s="2">
        <v>2.4940000000000002</v>
      </c>
      <c r="F85" s="2">
        <v>2.4940000000000002</v>
      </c>
    </row>
    <row r="86" spans="1:6" x14ac:dyDescent="0.3">
      <c r="A86" s="1">
        <v>2009</v>
      </c>
      <c r="B86" s="2">
        <v>2.4929999999999999</v>
      </c>
      <c r="C86" s="1" t="s">
        <v>3</v>
      </c>
      <c r="E86" s="2">
        <v>2.4929999999999999</v>
      </c>
      <c r="F86" s="2">
        <v>2.4929999999999999</v>
      </c>
    </row>
    <row r="87" spans="1:6" x14ac:dyDescent="0.3">
      <c r="A87" s="1">
        <v>2013</v>
      </c>
      <c r="B87" s="2">
        <v>2.4929999999999999</v>
      </c>
      <c r="C87" s="1" t="s">
        <v>3</v>
      </c>
      <c r="E87" s="2">
        <v>2.4929999999999999</v>
      </c>
      <c r="F87" s="2">
        <v>2.4929999999999999</v>
      </c>
    </row>
    <row r="88" spans="1:6" x14ac:dyDescent="0.3">
      <c r="A88" s="1">
        <v>2013</v>
      </c>
      <c r="B88" s="2">
        <v>2.4929999999999999</v>
      </c>
      <c r="C88" s="1" t="s">
        <v>3</v>
      </c>
      <c r="E88" s="2">
        <v>2.4929999999999999</v>
      </c>
      <c r="F88" s="2">
        <v>2.4929999999999999</v>
      </c>
    </row>
    <row r="89" spans="1:6" x14ac:dyDescent="0.3">
      <c r="A89" s="1">
        <v>2009</v>
      </c>
      <c r="B89" s="2">
        <v>2.4900000000000002</v>
      </c>
      <c r="C89" s="1" t="s">
        <v>3</v>
      </c>
      <c r="E89" s="2">
        <v>2.4900000000000002</v>
      </c>
      <c r="F89" s="2">
        <v>2.492</v>
      </c>
    </row>
    <row r="90" spans="1:6" x14ac:dyDescent="0.3">
      <c r="A90" s="1">
        <v>1988</v>
      </c>
      <c r="B90" s="2">
        <v>2.4889999999999999</v>
      </c>
      <c r="C90" s="1" t="s">
        <v>3</v>
      </c>
      <c r="E90" s="2">
        <v>2.4889999999999999</v>
      </c>
      <c r="F90" s="2">
        <v>2.492</v>
      </c>
    </row>
    <row r="91" spans="1:6" x14ac:dyDescent="0.3">
      <c r="A91" s="1">
        <v>2004</v>
      </c>
      <c r="B91" s="2">
        <v>2.4889999999999999</v>
      </c>
      <c r="C91" s="1" t="s">
        <v>3</v>
      </c>
      <c r="E91" s="2">
        <v>2.4889999999999999</v>
      </c>
      <c r="F91" s="2">
        <v>2.492</v>
      </c>
    </row>
    <row r="92" spans="1:6" x14ac:dyDescent="0.3">
      <c r="A92" s="1">
        <v>1988</v>
      </c>
      <c r="B92" s="2">
        <v>2.488</v>
      </c>
      <c r="C92" s="1" t="s">
        <v>3</v>
      </c>
      <c r="E92" s="2">
        <v>2.488</v>
      </c>
      <c r="F92" s="2">
        <v>2.492</v>
      </c>
    </row>
    <row r="93" spans="1:6" x14ac:dyDescent="0.3">
      <c r="A93" s="1">
        <v>2003</v>
      </c>
      <c r="B93" s="2">
        <v>2.488</v>
      </c>
      <c r="C93" s="1" t="s">
        <v>3</v>
      </c>
      <c r="E93" s="2">
        <v>2.488</v>
      </c>
      <c r="F93" s="2">
        <v>2.4910000000000001</v>
      </c>
    </row>
    <row r="94" spans="1:6" x14ac:dyDescent="0.3">
      <c r="A94" s="1">
        <v>2017</v>
      </c>
      <c r="B94" s="2">
        <v>2.488</v>
      </c>
      <c r="C94" s="1" t="s">
        <v>3</v>
      </c>
      <c r="E94" s="2">
        <v>2.488</v>
      </c>
      <c r="F94" s="2">
        <v>2.4900000000000002</v>
      </c>
    </row>
    <row r="95" spans="1:6" x14ac:dyDescent="0.3">
      <c r="A95" s="1">
        <v>1990</v>
      </c>
      <c r="B95" s="2">
        <v>2.4860000000000002</v>
      </c>
      <c r="C95" s="1" t="s">
        <v>3</v>
      </c>
      <c r="E95" s="2">
        <v>2.4860000000000002</v>
      </c>
      <c r="F95" s="2">
        <v>2.4900000000000002</v>
      </c>
    </row>
    <row r="96" spans="1:6" x14ac:dyDescent="0.3">
      <c r="A96" s="1">
        <v>1999</v>
      </c>
      <c r="B96" s="2">
        <v>2.4849999999999999</v>
      </c>
      <c r="C96" s="1" t="s">
        <v>3</v>
      </c>
      <c r="E96" s="2">
        <v>2.4849999999999999</v>
      </c>
      <c r="F96" s="2">
        <v>2.4900000000000002</v>
      </c>
    </row>
    <row r="97" spans="1:6" x14ac:dyDescent="0.3">
      <c r="A97" s="1">
        <v>1999</v>
      </c>
      <c r="B97" s="2">
        <v>2.4849999999999999</v>
      </c>
      <c r="C97" s="1" t="s">
        <v>3</v>
      </c>
      <c r="E97" s="2">
        <v>2.4849999999999999</v>
      </c>
      <c r="F97" s="2">
        <v>2.4900000000000002</v>
      </c>
    </row>
    <row r="98" spans="1:6" x14ac:dyDescent="0.3">
      <c r="A98" s="1">
        <v>2012</v>
      </c>
      <c r="B98" s="2">
        <v>2.4849999999999999</v>
      </c>
      <c r="C98" s="1" t="s">
        <v>3</v>
      </c>
      <c r="E98" s="2">
        <v>2.4849999999999999</v>
      </c>
      <c r="F98" s="2">
        <v>2.4889999999999999</v>
      </c>
    </row>
    <row r="99" spans="1:6" x14ac:dyDescent="0.3">
      <c r="A99" s="1">
        <v>1985</v>
      </c>
      <c r="B99" s="2">
        <v>2.484</v>
      </c>
      <c r="C99" s="1" t="s">
        <v>3</v>
      </c>
      <c r="E99" s="2">
        <v>2.484</v>
      </c>
      <c r="F99" s="2">
        <v>2.488</v>
      </c>
    </row>
    <row r="100" spans="1:6" x14ac:dyDescent="0.3">
      <c r="A100" s="1">
        <v>1990</v>
      </c>
      <c r="B100" s="2">
        <v>2.484</v>
      </c>
      <c r="C100" s="1" t="s">
        <v>3</v>
      </c>
      <c r="E100" s="2">
        <v>2.484</v>
      </c>
      <c r="F100" s="2">
        <v>2.488</v>
      </c>
    </row>
    <row r="101" spans="1:6" x14ac:dyDescent="0.3">
      <c r="A101" s="1">
        <v>2001</v>
      </c>
      <c r="B101" s="2">
        <v>2.484</v>
      </c>
      <c r="C101" s="1" t="s">
        <v>3</v>
      </c>
      <c r="E101" s="2">
        <v>2.484</v>
      </c>
      <c r="F101" s="2">
        <v>2.488</v>
      </c>
    </row>
    <row r="102" spans="1:6" x14ac:dyDescent="0.3">
      <c r="A102" s="1">
        <v>2002</v>
      </c>
      <c r="B102" s="2">
        <v>2.484</v>
      </c>
      <c r="C102" s="1" t="s">
        <v>3</v>
      </c>
      <c r="E102" s="2">
        <v>2.484</v>
      </c>
      <c r="F102" s="2">
        <v>2.4870000000000001</v>
      </c>
    </row>
    <row r="103" spans="1:6" x14ac:dyDescent="0.3">
      <c r="A103" s="1">
        <v>2011</v>
      </c>
      <c r="B103" s="2">
        <v>2.484</v>
      </c>
      <c r="C103" s="1" t="s">
        <v>3</v>
      </c>
      <c r="E103" s="2">
        <v>2.484</v>
      </c>
      <c r="F103" s="2">
        <v>2.4860000000000002</v>
      </c>
    </row>
    <row r="104" spans="1:6" x14ac:dyDescent="0.3">
      <c r="A104" s="1">
        <v>2015</v>
      </c>
      <c r="B104" s="2">
        <v>2.484</v>
      </c>
      <c r="C104" s="1" t="s">
        <v>3</v>
      </c>
      <c r="E104" s="2">
        <v>2.484</v>
      </c>
      <c r="F104" s="2">
        <v>2.4860000000000002</v>
      </c>
    </row>
    <row r="105" spans="1:6" x14ac:dyDescent="0.3">
      <c r="A105" s="1">
        <v>1983</v>
      </c>
      <c r="B105" s="2">
        <v>2.4830000000000001</v>
      </c>
      <c r="C105" s="1" t="s">
        <v>3</v>
      </c>
      <c r="E105" s="2">
        <v>2.4830000000000001</v>
      </c>
      <c r="F105" s="2">
        <v>2.4860000000000002</v>
      </c>
    </row>
    <row r="106" spans="1:6" x14ac:dyDescent="0.3">
      <c r="A106" s="1">
        <v>2008</v>
      </c>
      <c r="B106" s="2">
        <v>2.4830000000000001</v>
      </c>
      <c r="C106" s="1" t="s">
        <v>3</v>
      </c>
      <c r="E106" s="2">
        <v>2.4830000000000001</v>
      </c>
      <c r="F106" s="2">
        <v>2.4860000000000002</v>
      </c>
    </row>
    <row r="107" spans="1:6" x14ac:dyDescent="0.3">
      <c r="A107" s="1">
        <v>1983</v>
      </c>
      <c r="B107" s="2">
        <v>2.4820000000000002</v>
      </c>
      <c r="C107" s="1" t="s">
        <v>3</v>
      </c>
      <c r="E107" s="2">
        <v>2.4820000000000002</v>
      </c>
      <c r="F107" s="2">
        <v>2.4860000000000002</v>
      </c>
    </row>
    <row r="108" spans="1:6" x14ac:dyDescent="0.3">
      <c r="A108" s="1">
        <v>1991</v>
      </c>
      <c r="B108" s="2">
        <v>2.4809999999999999</v>
      </c>
      <c r="C108" s="1" t="s">
        <v>3</v>
      </c>
      <c r="E108" s="2">
        <v>2.4809999999999999</v>
      </c>
      <c r="F108" s="2">
        <v>2.4849999999999999</v>
      </c>
    </row>
    <row r="109" spans="1:6" x14ac:dyDescent="0.3">
      <c r="A109" s="1">
        <v>1995</v>
      </c>
      <c r="B109" s="2">
        <v>2.4809999999999999</v>
      </c>
      <c r="C109" s="1" t="s">
        <v>3</v>
      </c>
      <c r="E109" s="2">
        <v>2.4809999999999999</v>
      </c>
      <c r="F109" s="2">
        <v>2.484</v>
      </c>
    </row>
    <row r="110" spans="1:6" x14ac:dyDescent="0.3">
      <c r="A110" s="1">
        <v>2015</v>
      </c>
      <c r="B110" s="2">
        <v>2.4809999999999999</v>
      </c>
      <c r="C110" s="1" t="s">
        <v>3</v>
      </c>
      <c r="E110" s="2">
        <v>2.4809999999999999</v>
      </c>
      <c r="F110" s="2">
        <v>2.4830000000000001</v>
      </c>
    </row>
    <row r="111" spans="1:6" x14ac:dyDescent="0.3">
      <c r="A111" s="1">
        <v>1992</v>
      </c>
      <c r="B111" s="2">
        <v>2.48</v>
      </c>
      <c r="C111" s="1" t="s">
        <v>3</v>
      </c>
      <c r="E111" s="2">
        <v>2.48</v>
      </c>
      <c r="F111" s="2">
        <v>2.4830000000000001</v>
      </c>
    </row>
    <row r="112" spans="1:6" x14ac:dyDescent="0.3">
      <c r="A112" s="1">
        <v>1988</v>
      </c>
      <c r="B112" s="2">
        <v>2.4790000000000001</v>
      </c>
      <c r="C112" s="1" t="s">
        <v>3</v>
      </c>
      <c r="E112" s="2">
        <v>2.4790000000000001</v>
      </c>
      <c r="F112" s="2">
        <v>2.4809999999999999</v>
      </c>
    </row>
    <row r="113" spans="1:6" x14ac:dyDescent="0.3">
      <c r="A113" s="1">
        <v>1996</v>
      </c>
      <c r="B113" s="2">
        <v>2.4790000000000001</v>
      </c>
      <c r="C113" s="1" t="s">
        <v>3</v>
      </c>
      <c r="E113" s="2">
        <v>2.4790000000000001</v>
      </c>
      <c r="F113" s="2">
        <v>2.4809999999999999</v>
      </c>
    </row>
    <row r="114" spans="1:6" x14ac:dyDescent="0.3">
      <c r="A114" s="1">
        <v>1983</v>
      </c>
      <c r="B114" s="2">
        <v>2.4780000000000002</v>
      </c>
      <c r="C114" s="1" t="s">
        <v>3</v>
      </c>
      <c r="E114" s="2">
        <v>2.4780000000000002</v>
      </c>
      <c r="F114" s="2">
        <v>2.48</v>
      </c>
    </row>
    <row r="115" spans="1:6" x14ac:dyDescent="0.3">
      <c r="A115" s="1">
        <v>2015</v>
      </c>
      <c r="B115" s="2">
        <v>2.4780000000000002</v>
      </c>
      <c r="C115" s="1" t="s">
        <v>3</v>
      </c>
      <c r="E115" s="2">
        <v>2.4780000000000002</v>
      </c>
      <c r="F115" s="2">
        <v>2.4769999999999999</v>
      </c>
    </row>
    <row r="116" spans="1:6" x14ac:dyDescent="0.3">
      <c r="A116" s="1">
        <v>1991</v>
      </c>
      <c r="B116" s="2">
        <v>2.4769999999999999</v>
      </c>
      <c r="C116" s="1" t="s">
        <v>3</v>
      </c>
      <c r="E116" s="2">
        <v>2.4769999999999999</v>
      </c>
      <c r="F116" s="2">
        <v>2.476</v>
      </c>
    </row>
    <row r="117" spans="1:6" x14ac:dyDescent="0.3">
      <c r="A117" s="1">
        <v>2006</v>
      </c>
      <c r="B117" s="2">
        <v>2.4769999999999999</v>
      </c>
      <c r="C117" s="1" t="s">
        <v>3</v>
      </c>
      <c r="E117" s="2">
        <v>2.4769999999999999</v>
      </c>
      <c r="F117" s="2">
        <v>2.4750000000000001</v>
      </c>
    </row>
    <row r="118" spans="1:6" x14ac:dyDescent="0.3">
      <c r="A118" s="1">
        <v>2017</v>
      </c>
      <c r="B118" s="2">
        <v>2.4769999999999999</v>
      </c>
      <c r="C118" s="1" t="s">
        <v>3</v>
      </c>
      <c r="E118" s="2">
        <v>2.4769999999999999</v>
      </c>
      <c r="F118" s="2">
        <v>2.4740000000000002</v>
      </c>
    </row>
    <row r="119" spans="1:6" x14ac:dyDescent="0.3">
      <c r="A119" s="1">
        <v>2010</v>
      </c>
      <c r="B119" s="2">
        <v>2.476</v>
      </c>
      <c r="C119" s="1" t="s">
        <v>3</v>
      </c>
      <c r="E119" s="2">
        <v>2.476</v>
      </c>
      <c r="F119" s="2">
        <v>2.4740000000000002</v>
      </c>
    </row>
    <row r="120" spans="1:6" x14ac:dyDescent="0.3">
      <c r="A120" s="1">
        <v>1995</v>
      </c>
      <c r="B120" s="2">
        <v>2.4750000000000001</v>
      </c>
      <c r="C120" s="1" t="s">
        <v>3</v>
      </c>
      <c r="E120" s="2">
        <v>2.4750000000000001</v>
      </c>
      <c r="F120" s="2">
        <v>2.4729999999999999</v>
      </c>
    </row>
    <row r="121" spans="1:6" x14ac:dyDescent="0.3">
      <c r="A121" s="1">
        <v>1990</v>
      </c>
      <c r="B121" s="2">
        <v>2.472</v>
      </c>
      <c r="C121" s="1" t="s">
        <v>3</v>
      </c>
      <c r="E121" s="2">
        <v>2.472</v>
      </c>
      <c r="F121" s="2">
        <v>2.4729999999999999</v>
      </c>
    </row>
    <row r="122" spans="1:6" x14ac:dyDescent="0.3">
      <c r="A122" s="1">
        <v>2014</v>
      </c>
      <c r="B122" s="2">
        <v>2.4710000000000001</v>
      </c>
      <c r="C122" s="1" t="s">
        <v>3</v>
      </c>
      <c r="E122" s="2">
        <v>2.4710000000000001</v>
      </c>
      <c r="F122" s="2">
        <v>2.4710000000000001</v>
      </c>
    </row>
    <row r="123" spans="1:6" x14ac:dyDescent="0.3">
      <c r="A123" s="1">
        <v>2006</v>
      </c>
      <c r="B123" s="2">
        <v>2.4700000000000002</v>
      </c>
      <c r="C123" s="1" t="s">
        <v>3</v>
      </c>
      <c r="E123" s="2">
        <v>2.4700000000000002</v>
      </c>
      <c r="F123" s="2">
        <v>2.4689999999999999</v>
      </c>
    </row>
    <row r="124" spans="1:6" x14ac:dyDescent="0.3">
      <c r="A124" s="1">
        <v>2006</v>
      </c>
      <c r="B124" s="2">
        <v>2.4689999999999999</v>
      </c>
      <c r="C124" s="1" t="s">
        <v>3</v>
      </c>
      <c r="E124" s="2">
        <v>2.4689999999999999</v>
      </c>
      <c r="F124" s="2">
        <v>2.4689999999999999</v>
      </c>
    </row>
    <row r="125" spans="1:6" x14ac:dyDescent="0.3">
      <c r="A125" s="1">
        <v>1994</v>
      </c>
      <c r="B125" s="2">
        <v>2.464</v>
      </c>
      <c r="C125" s="1" t="s">
        <v>3</v>
      </c>
      <c r="E125" s="2">
        <v>2.464</v>
      </c>
      <c r="F125" s="2">
        <v>2.4689999999999999</v>
      </c>
    </row>
    <row r="126" spans="1:6" x14ac:dyDescent="0.3">
      <c r="A126" s="1">
        <v>2010</v>
      </c>
      <c r="B126" s="2">
        <v>2.4630000000000001</v>
      </c>
      <c r="C126" s="1" t="s">
        <v>3</v>
      </c>
      <c r="E126" s="2">
        <v>2.4630000000000001</v>
      </c>
      <c r="F126" s="2">
        <v>2.4670000000000001</v>
      </c>
    </row>
    <row r="127" spans="1:6" x14ac:dyDescent="0.3">
      <c r="A127" s="1">
        <v>1997</v>
      </c>
      <c r="B127" s="2">
        <v>2.4620000000000002</v>
      </c>
      <c r="C127" s="1" t="s">
        <v>3</v>
      </c>
      <c r="E127" s="2">
        <v>2.4620000000000002</v>
      </c>
      <c r="F127" s="2">
        <v>2.4670000000000001</v>
      </c>
    </row>
    <row r="128" spans="1:6" x14ac:dyDescent="0.3">
      <c r="A128" s="1">
        <v>2003</v>
      </c>
      <c r="B128" s="2">
        <v>2.4620000000000002</v>
      </c>
      <c r="C128" s="1" t="s">
        <v>3</v>
      </c>
      <c r="E128" s="2">
        <v>2.4620000000000002</v>
      </c>
      <c r="F128" s="2">
        <v>2.4660000000000002</v>
      </c>
    </row>
    <row r="129" spans="1:6" x14ac:dyDescent="0.3">
      <c r="A129" s="1">
        <v>2012</v>
      </c>
      <c r="B129" s="2">
        <v>2.4620000000000002</v>
      </c>
      <c r="C129" s="1" t="s">
        <v>3</v>
      </c>
      <c r="E129" s="2">
        <v>2.4620000000000002</v>
      </c>
      <c r="F129" s="2">
        <v>2.4660000000000002</v>
      </c>
    </row>
    <row r="130" spans="1:6" x14ac:dyDescent="0.3">
      <c r="A130" s="1">
        <v>2012</v>
      </c>
      <c r="B130" s="2">
        <v>2.4620000000000002</v>
      </c>
      <c r="C130" s="1" t="s">
        <v>3</v>
      </c>
      <c r="E130" s="2">
        <v>2.4620000000000002</v>
      </c>
      <c r="F130" s="2">
        <v>2.4660000000000002</v>
      </c>
    </row>
    <row r="131" spans="1:6" x14ac:dyDescent="0.3">
      <c r="A131" s="1">
        <v>2012</v>
      </c>
      <c r="B131" s="2">
        <v>2.4609999999999999</v>
      </c>
      <c r="C131" s="1" t="s">
        <v>3</v>
      </c>
      <c r="E131" s="2">
        <v>2.4609999999999999</v>
      </c>
      <c r="F131" s="2">
        <v>2.4620000000000002</v>
      </c>
    </row>
    <row r="132" spans="1:6" x14ac:dyDescent="0.3">
      <c r="A132" s="1">
        <v>1992</v>
      </c>
      <c r="B132" s="2">
        <v>2.46</v>
      </c>
      <c r="C132" s="1" t="s">
        <v>3</v>
      </c>
      <c r="E132" s="2">
        <v>2.46</v>
      </c>
      <c r="F132" s="2">
        <v>2.4620000000000002</v>
      </c>
    </row>
    <row r="133" spans="1:6" x14ac:dyDescent="0.3">
      <c r="A133" s="1">
        <v>1985</v>
      </c>
      <c r="B133" s="2">
        <v>2.4580000000000002</v>
      </c>
      <c r="C133" s="1" t="s">
        <v>3</v>
      </c>
      <c r="E133" s="2">
        <v>2.4580000000000002</v>
      </c>
      <c r="F133" s="2">
        <v>2.46</v>
      </c>
    </row>
    <row r="134" spans="1:6" x14ac:dyDescent="0.3">
      <c r="A134" s="1">
        <v>1997</v>
      </c>
      <c r="B134" s="2">
        <v>2.4569999999999999</v>
      </c>
      <c r="C134" s="1" t="s">
        <v>3</v>
      </c>
      <c r="E134" s="2">
        <v>2.4569999999999999</v>
      </c>
      <c r="F134" s="2">
        <v>2.46</v>
      </c>
    </row>
    <row r="135" spans="1:6" x14ac:dyDescent="0.3">
      <c r="A135" s="1">
        <v>2002</v>
      </c>
      <c r="B135" s="2">
        <v>2.4569999999999999</v>
      </c>
      <c r="C135" s="1" t="s">
        <v>3</v>
      </c>
      <c r="E135" s="2">
        <v>2.4569999999999999</v>
      </c>
      <c r="F135" s="2">
        <v>2.4580000000000002</v>
      </c>
    </row>
    <row r="136" spans="1:6" x14ac:dyDescent="0.3">
      <c r="A136" s="1">
        <v>1995</v>
      </c>
      <c r="B136" s="2">
        <v>2.4540000000000002</v>
      </c>
      <c r="C136" s="1" t="s">
        <v>3</v>
      </c>
      <c r="E136" s="2">
        <v>2.4540000000000002</v>
      </c>
      <c r="F136" s="2">
        <v>2.4569999999999999</v>
      </c>
    </row>
    <row r="137" spans="1:6" x14ac:dyDescent="0.3">
      <c r="A137" s="1">
        <v>2016</v>
      </c>
      <c r="B137" s="2">
        <v>2.452</v>
      </c>
      <c r="C137" s="1" t="s">
        <v>3</v>
      </c>
      <c r="E137" s="2">
        <v>2.452</v>
      </c>
      <c r="F137" s="2">
        <v>2.456</v>
      </c>
    </row>
    <row r="138" spans="1:6" x14ac:dyDescent="0.3">
      <c r="A138" s="1">
        <v>1983</v>
      </c>
      <c r="B138" s="2">
        <v>2.448</v>
      </c>
      <c r="C138" s="1" t="s">
        <v>3</v>
      </c>
      <c r="E138" s="2">
        <v>2.448</v>
      </c>
      <c r="F138" s="2">
        <v>2.456</v>
      </c>
    </row>
    <row r="139" spans="1:6" x14ac:dyDescent="0.3">
      <c r="A139" s="1">
        <v>1989</v>
      </c>
      <c r="B139" s="2">
        <v>2.444</v>
      </c>
      <c r="C139" s="1" t="s">
        <v>3</v>
      </c>
      <c r="E139" s="2">
        <v>2.444</v>
      </c>
      <c r="F139" s="2">
        <v>2.4510000000000001</v>
      </c>
    </row>
    <row r="140" spans="1:6" x14ac:dyDescent="0.3">
      <c r="A140" s="1">
        <v>2009</v>
      </c>
      <c r="B140" s="2">
        <v>2.4390000000000001</v>
      </c>
      <c r="C140" s="1" t="s">
        <v>3</v>
      </c>
      <c r="E140" s="2">
        <v>2.4390000000000001</v>
      </c>
      <c r="F140" s="2">
        <v>2.4470000000000001</v>
      </c>
    </row>
    <row r="141" spans="1:6" x14ac:dyDescent="0.3">
      <c r="A141" s="1">
        <v>1996</v>
      </c>
      <c r="B141" s="2">
        <v>2.403</v>
      </c>
      <c r="C141" s="1" t="s">
        <v>3</v>
      </c>
      <c r="E141" s="2">
        <v>2.403</v>
      </c>
      <c r="F141" s="2">
        <v>2.444</v>
      </c>
    </row>
    <row r="142" spans="1:6" x14ac:dyDescent="0.3">
      <c r="A142" s="1">
        <v>2008</v>
      </c>
      <c r="B142" s="2">
        <v>2.5640000000000001</v>
      </c>
      <c r="C142" s="1" t="s">
        <v>4</v>
      </c>
      <c r="F142" s="2">
        <v>2.4359999999999999</v>
      </c>
    </row>
    <row r="143" spans="1:6" x14ac:dyDescent="0.3">
      <c r="A143" s="1">
        <v>1990</v>
      </c>
      <c r="B143" s="2">
        <v>2.5569999999999999</v>
      </c>
      <c r="C143" s="1" t="s">
        <v>4</v>
      </c>
    </row>
    <row r="144" spans="1:6" x14ac:dyDescent="0.3">
      <c r="A144" s="1">
        <v>2007</v>
      </c>
      <c r="B144" s="2">
        <v>2.556</v>
      </c>
      <c r="C144" s="1" t="s">
        <v>4</v>
      </c>
    </row>
    <row r="145" spans="1:3" x14ac:dyDescent="0.3">
      <c r="A145" s="1">
        <v>1989</v>
      </c>
      <c r="B145" s="2">
        <v>2.5539999999999998</v>
      </c>
      <c r="C145" s="1" t="s">
        <v>4</v>
      </c>
    </row>
    <row r="146" spans="1:3" x14ac:dyDescent="0.3">
      <c r="A146" s="1">
        <v>2001</v>
      </c>
      <c r="B146" s="2">
        <v>2.5529999999999999</v>
      </c>
      <c r="C146" s="1" t="s">
        <v>4</v>
      </c>
    </row>
    <row r="147" spans="1:3" x14ac:dyDescent="0.3">
      <c r="A147" s="1">
        <v>1983</v>
      </c>
      <c r="B147" s="2">
        <v>2.552</v>
      </c>
      <c r="C147" s="1" t="s">
        <v>4</v>
      </c>
    </row>
    <row r="148" spans="1:3" x14ac:dyDescent="0.3">
      <c r="A148" s="1">
        <v>1994</v>
      </c>
      <c r="B148" s="2">
        <v>2.548</v>
      </c>
      <c r="C148" s="1" t="s">
        <v>4</v>
      </c>
    </row>
    <row r="149" spans="1:3" x14ac:dyDescent="0.3">
      <c r="A149" s="1">
        <v>1985</v>
      </c>
      <c r="B149" s="2">
        <v>2.5449999999999999</v>
      </c>
      <c r="C149" s="1" t="s">
        <v>4</v>
      </c>
    </row>
    <row r="150" spans="1:3" x14ac:dyDescent="0.3">
      <c r="A150" s="1">
        <v>2008</v>
      </c>
      <c r="B150" s="2">
        <v>2.5449999999999999</v>
      </c>
      <c r="C150" s="1" t="s">
        <v>4</v>
      </c>
    </row>
    <row r="151" spans="1:3" x14ac:dyDescent="0.3">
      <c r="A151" s="1">
        <v>1993</v>
      </c>
      <c r="B151" s="2">
        <v>2.5419999999999998</v>
      </c>
      <c r="C151" s="1" t="s">
        <v>4</v>
      </c>
    </row>
    <row r="152" spans="1:3" x14ac:dyDescent="0.3">
      <c r="A152" s="1">
        <v>1995</v>
      </c>
      <c r="B152" s="2">
        <v>2.5409999999999999</v>
      </c>
      <c r="C152" s="1" t="s">
        <v>4</v>
      </c>
    </row>
    <row r="153" spans="1:3" x14ac:dyDescent="0.3">
      <c r="A153" s="1">
        <v>2003</v>
      </c>
      <c r="B153" s="2">
        <v>2.5409999999999999</v>
      </c>
      <c r="C153" s="1" t="s">
        <v>4</v>
      </c>
    </row>
    <row r="154" spans="1:3" x14ac:dyDescent="0.3">
      <c r="A154" s="1">
        <v>1983</v>
      </c>
      <c r="B154" s="2">
        <v>2.5390000000000001</v>
      </c>
      <c r="C154" s="1" t="s">
        <v>4</v>
      </c>
    </row>
    <row r="155" spans="1:3" x14ac:dyDescent="0.3">
      <c r="A155" s="1">
        <v>1993</v>
      </c>
      <c r="B155" s="2">
        <v>2.5379999999999998</v>
      </c>
      <c r="C155" s="1" t="s">
        <v>4</v>
      </c>
    </row>
    <row r="156" spans="1:3" x14ac:dyDescent="0.3">
      <c r="A156" s="1">
        <v>1986</v>
      </c>
      <c r="B156" s="2">
        <v>2.536</v>
      </c>
      <c r="C156" s="1" t="s">
        <v>4</v>
      </c>
    </row>
    <row r="157" spans="1:3" x14ac:dyDescent="0.3">
      <c r="A157" s="1">
        <v>1990</v>
      </c>
      <c r="B157" s="2">
        <v>2.5350000000000001</v>
      </c>
      <c r="C157" s="1" t="s">
        <v>4</v>
      </c>
    </row>
    <row r="158" spans="1:3" x14ac:dyDescent="0.3">
      <c r="A158" s="1">
        <v>1993</v>
      </c>
      <c r="B158" s="2">
        <v>2.5350000000000001</v>
      </c>
      <c r="C158" s="1" t="s">
        <v>4</v>
      </c>
    </row>
    <row r="159" spans="1:3" x14ac:dyDescent="0.3">
      <c r="A159" s="1">
        <v>2009</v>
      </c>
      <c r="B159" s="2">
        <v>2.5350000000000001</v>
      </c>
      <c r="C159" s="1" t="s">
        <v>4</v>
      </c>
    </row>
    <row r="160" spans="1:3" x14ac:dyDescent="0.3">
      <c r="A160" s="1">
        <v>1995</v>
      </c>
      <c r="B160" s="2">
        <v>2.5329999999999999</v>
      </c>
      <c r="C160" s="1" t="s">
        <v>4</v>
      </c>
    </row>
    <row r="161" spans="1:3" x14ac:dyDescent="0.3">
      <c r="A161" s="1">
        <v>2012</v>
      </c>
      <c r="B161" s="2">
        <v>2.5329999999999999</v>
      </c>
      <c r="C161" s="1" t="s">
        <v>4</v>
      </c>
    </row>
    <row r="162" spans="1:3" x14ac:dyDescent="0.3">
      <c r="A162" s="1">
        <v>1995</v>
      </c>
      <c r="B162" s="2">
        <v>2.532</v>
      </c>
      <c r="C162" s="1" t="s">
        <v>4</v>
      </c>
    </row>
    <row r="163" spans="1:3" x14ac:dyDescent="0.3">
      <c r="A163" s="1">
        <v>2012</v>
      </c>
      <c r="B163" s="2">
        <v>2.532</v>
      </c>
      <c r="C163" s="1" t="s">
        <v>4</v>
      </c>
    </row>
    <row r="164" spans="1:3" x14ac:dyDescent="0.3">
      <c r="A164" s="1">
        <v>2003</v>
      </c>
      <c r="B164" s="2">
        <v>2.5310000000000001</v>
      </c>
      <c r="C164" s="1" t="s">
        <v>4</v>
      </c>
    </row>
    <row r="165" spans="1:3" x14ac:dyDescent="0.3">
      <c r="A165" s="1">
        <v>2014</v>
      </c>
      <c r="B165" s="2">
        <v>2.5310000000000001</v>
      </c>
      <c r="C165" s="1" t="s">
        <v>4</v>
      </c>
    </row>
    <row r="166" spans="1:3" x14ac:dyDescent="0.3">
      <c r="A166" s="1">
        <v>2000</v>
      </c>
      <c r="B166" s="2">
        <v>2.5289999999999999</v>
      </c>
      <c r="C166" s="1" t="s">
        <v>4</v>
      </c>
    </row>
    <row r="167" spans="1:3" x14ac:dyDescent="0.3">
      <c r="A167" s="1">
        <v>2002</v>
      </c>
      <c r="B167" s="2">
        <v>2.528</v>
      </c>
      <c r="C167" s="1" t="s">
        <v>4</v>
      </c>
    </row>
    <row r="168" spans="1:3" x14ac:dyDescent="0.3">
      <c r="A168" s="1">
        <v>1984</v>
      </c>
      <c r="B168" s="2">
        <v>2.5270000000000001</v>
      </c>
      <c r="C168" s="1" t="s">
        <v>4</v>
      </c>
    </row>
    <row r="169" spans="1:3" x14ac:dyDescent="0.3">
      <c r="A169" s="1">
        <v>2017</v>
      </c>
      <c r="B169" s="2">
        <v>2.5270000000000001</v>
      </c>
      <c r="C169" s="1" t="s">
        <v>4</v>
      </c>
    </row>
    <row r="170" spans="1:3" x14ac:dyDescent="0.3">
      <c r="A170" s="1">
        <v>1984</v>
      </c>
      <c r="B170" s="2">
        <v>2.5249999999999999</v>
      </c>
      <c r="C170" s="1" t="s">
        <v>4</v>
      </c>
    </row>
    <row r="171" spans="1:3" x14ac:dyDescent="0.3">
      <c r="A171" s="1">
        <v>1987</v>
      </c>
      <c r="B171" s="2">
        <v>2.5249999999999999</v>
      </c>
      <c r="C171" s="1" t="s">
        <v>4</v>
      </c>
    </row>
    <row r="172" spans="1:3" x14ac:dyDescent="0.3">
      <c r="A172" s="1">
        <v>2016</v>
      </c>
      <c r="B172" s="2">
        <v>2.5249999999999999</v>
      </c>
      <c r="C172" s="1" t="s">
        <v>4</v>
      </c>
    </row>
    <row r="173" spans="1:3" x14ac:dyDescent="0.3">
      <c r="A173" s="1">
        <v>1984</v>
      </c>
      <c r="B173" s="2">
        <v>2.524</v>
      </c>
      <c r="C173" s="1" t="s">
        <v>4</v>
      </c>
    </row>
    <row r="174" spans="1:3" x14ac:dyDescent="0.3">
      <c r="A174" s="1">
        <v>1991</v>
      </c>
      <c r="B174" s="2">
        <v>2.524</v>
      </c>
      <c r="C174" s="1" t="s">
        <v>4</v>
      </c>
    </row>
    <row r="175" spans="1:3" x14ac:dyDescent="0.3">
      <c r="A175" s="1">
        <v>1995</v>
      </c>
      <c r="B175" s="2">
        <v>2.524</v>
      </c>
      <c r="C175" s="1" t="s">
        <v>4</v>
      </c>
    </row>
    <row r="176" spans="1:3" x14ac:dyDescent="0.3">
      <c r="A176" s="1">
        <v>1988</v>
      </c>
      <c r="B176" s="2">
        <v>2.5230000000000001</v>
      </c>
      <c r="C176" s="1" t="s">
        <v>4</v>
      </c>
    </row>
    <row r="177" spans="1:3" x14ac:dyDescent="0.3">
      <c r="A177" s="1">
        <v>2013</v>
      </c>
      <c r="B177" s="2">
        <v>2.5230000000000001</v>
      </c>
      <c r="C177" s="1" t="s">
        <v>4</v>
      </c>
    </row>
    <row r="178" spans="1:3" x14ac:dyDescent="0.3">
      <c r="A178" s="1">
        <v>1983</v>
      </c>
      <c r="B178" s="2">
        <v>2.5209999999999999</v>
      </c>
      <c r="C178" s="1" t="s">
        <v>4</v>
      </c>
    </row>
    <row r="179" spans="1:3" x14ac:dyDescent="0.3">
      <c r="A179" s="1">
        <v>1989</v>
      </c>
      <c r="B179" s="2">
        <v>2.5209999999999999</v>
      </c>
      <c r="C179" s="1" t="s">
        <v>4</v>
      </c>
    </row>
    <row r="180" spans="1:3" x14ac:dyDescent="0.3">
      <c r="A180" s="1">
        <v>1990</v>
      </c>
      <c r="B180" s="2">
        <v>2.5209999999999999</v>
      </c>
      <c r="C180" s="1" t="s">
        <v>4</v>
      </c>
    </row>
    <row r="181" spans="1:3" x14ac:dyDescent="0.3">
      <c r="A181" s="1">
        <v>1988</v>
      </c>
      <c r="B181" s="2">
        <v>2.52</v>
      </c>
      <c r="C181" s="1" t="s">
        <v>4</v>
      </c>
    </row>
    <row r="182" spans="1:3" x14ac:dyDescent="0.3">
      <c r="A182" s="1">
        <v>2007</v>
      </c>
      <c r="B182" s="2">
        <v>2.52</v>
      </c>
      <c r="C182" s="1" t="s">
        <v>4</v>
      </c>
    </row>
    <row r="183" spans="1:3" x14ac:dyDescent="0.3">
      <c r="A183" s="1">
        <v>1993</v>
      </c>
      <c r="B183" s="2">
        <v>2.5190000000000001</v>
      </c>
      <c r="C183" s="1" t="s">
        <v>4</v>
      </c>
    </row>
    <row r="184" spans="1:3" x14ac:dyDescent="0.3">
      <c r="A184" s="1">
        <v>2006</v>
      </c>
      <c r="B184" s="2">
        <v>2.5179999999999998</v>
      </c>
      <c r="C184" s="1" t="s">
        <v>4</v>
      </c>
    </row>
    <row r="185" spans="1:3" x14ac:dyDescent="0.3">
      <c r="A185" s="1">
        <v>2007</v>
      </c>
      <c r="B185" s="2">
        <v>2.5169999999999999</v>
      </c>
      <c r="C185" s="1" t="s">
        <v>4</v>
      </c>
    </row>
    <row r="186" spans="1:3" x14ac:dyDescent="0.3">
      <c r="A186" s="1">
        <v>2011</v>
      </c>
      <c r="B186" s="2">
        <v>2.5169999999999999</v>
      </c>
      <c r="C186" s="1" t="s">
        <v>4</v>
      </c>
    </row>
    <row r="187" spans="1:3" x14ac:dyDescent="0.3">
      <c r="A187" s="1">
        <v>2010</v>
      </c>
      <c r="B187" s="2">
        <v>2.516</v>
      </c>
      <c r="C187" s="1" t="s">
        <v>4</v>
      </c>
    </row>
    <row r="188" spans="1:3" x14ac:dyDescent="0.3">
      <c r="A188" s="1">
        <v>2011</v>
      </c>
      <c r="B188" s="2">
        <v>2.516</v>
      </c>
      <c r="C188" s="1" t="s">
        <v>4</v>
      </c>
    </row>
    <row r="189" spans="1:3" x14ac:dyDescent="0.3">
      <c r="A189" s="1">
        <v>1984</v>
      </c>
      <c r="B189" s="2">
        <v>2.5150000000000001</v>
      </c>
      <c r="C189" s="1" t="s">
        <v>4</v>
      </c>
    </row>
    <row r="190" spans="1:3" x14ac:dyDescent="0.3">
      <c r="A190" s="1">
        <v>2014</v>
      </c>
      <c r="B190" s="2">
        <v>2.5150000000000001</v>
      </c>
      <c r="C190" s="1" t="s">
        <v>4</v>
      </c>
    </row>
    <row r="191" spans="1:3" x14ac:dyDescent="0.3">
      <c r="A191" s="1">
        <v>2008</v>
      </c>
      <c r="B191" s="2">
        <v>2.5139999999999998</v>
      </c>
      <c r="C191" s="1" t="s">
        <v>4</v>
      </c>
    </row>
    <row r="192" spans="1:3" x14ac:dyDescent="0.3">
      <c r="A192" s="1">
        <v>2009</v>
      </c>
      <c r="B192" s="2">
        <v>2.5139999999999998</v>
      </c>
      <c r="C192" s="1" t="s">
        <v>4</v>
      </c>
    </row>
    <row r="193" spans="1:3" x14ac:dyDescent="0.3">
      <c r="A193" s="1">
        <v>2014</v>
      </c>
      <c r="B193" s="2">
        <v>2.5139999999999998</v>
      </c>
      <c r="C193" s="1" t="s">
        <v>4</v>
      </c>
    </row>
    <row r="194" spans="1:3" x14ac:dyDescent="0.3">
      <c r="A194" s="1">
        <v>2013</v>
      </c>
      <c r="B194" s="2">
        <v>2.5129999999999999</v>
      </c>
      <c r="C194" s="1" t="s">
        <v>4</v>
      </c>
    </row>
    <row r="195" spans="1:3" x14ac:dyDescent="0.3">
      <c r="A195" s="1">
        <v>2006</v>
      </c>
      <c r="B195" s="2">
        <v>2.512</v>
      </c>
      <c r="C195" s="1" t="s">
        <v>4</v>
      </c>
    </row>
    <row r="196" spans="1:3" x14ac:dyDescent="0.3">
      <c r="A196" s="1">
        <v>2016</v>
      </c>
      <c r="B196" s="2">
        <v>2.512</v>
      </c>
      <c r="C196" s="1" t="s">
        <v>4</v>
      </c>
    </row>
    <row r="197" spans="1:3" x14ac:dyDescent="0.3">
      <c r="A197" s="1">
        <v>1986</v>
      </c>
      <c r="B197" s="2">
        <v>2.5110000000000001</v>
      </c>
      <c r="C197" s="1" t="s">
        <v>4</v>
      </c>
    </row>
    <row r="198" spans="1:3" x14ac:dyDescent="0.3">
      <c r="A198" s="1">
        <v>1989</v>
      </c>
      <c r="B198" s="2">
        <v>2.5110000000000001</v>
      </c>
      <c r="C198" s="1" t="s">
        <v>4</v>
      </c>
    </row>
    <row r="199" spans="1:3" x14ac:dyDescent="0.3">
      <c r="A199" s="1">
        <v>2002</v>
      </c>
      <c r="B199" s="2">
        <v>2.5110000000000001</v>
      </c>
      <c r="C199" s="1" t="s">
        <v>4</v>
      </c>
    </row>
    <row r="200" spans="1:3" x14ac:dyDescent="0.3">
      <c r="A200" s="1">
        <v>2012</v>
      </c>
      <c r="B200" s="2">
        <v>2.5110000000000001</v>
      </c>
      <c r="C200" s="1" t="s">
        <v>4</v>
      </c>
    </row>
    <row r="201" spans="1:3" x14ac:dyDescent="0.3">
      <c r="A201" s="1">
        <v>1983</v>
      </c>
      <c r="B201" s="2">
        <v>2.5099999999999998</v>
      </c>
      <c r="C201" s="1" t="s">
        <v>4</v>
      </c>
    </row>
    <row r="202" spans="1:3" x14ac:dyDescent="0.3">
      <c r="A202" s="1">
        <v>2001</v>
      </c>
      <c r="B202" s="2">
        <v>2.508</v>
      </c>
      <c r="C202" s="1" t="s">
        <v>4</v>
      </c>
    </row>
    <row r="203" spans="1:3" x14ac:dyDescent="0.3">
      <c r="A203" s="1">
        <v>2005</v>
      </c>
      <c r="B203" s="2">
        <v>2.5049999999999999</v>
      </c>
      <c r="C203" s="1" t="s">
        <v>4</v>
      </c>
    </row>
    <row r="204" spans="1:3" x14ac:dyDescent="0.3">
      <c r="A204" s="1">
        <v>2005</v>
      </c>
      <c r="B204" s="2">
        <v>2.5049999999999999</v>
      </c>
      <c r="C204" s="1" t="s">
        <v>4</v>
      </c>
    </row>
    <row r="205" spans="1:3" x14ac:dyDescent="0.3">
      <c r="A205" s="1">
        <v>2012</v>
      </c>
      <c r="B205" s="2">
        <v>2.5049999999999999</v>
      </c>
      <c r="C205" s="1" t="s">
        <v>4</v>
      </c>
    </row>
    <row r="206" spans="1:3" x14ac:dyDescent="0.3">
      <c r="A206" s="1">
        <v>1984</v>
      </c>
      <c r="B206" s="2">
        <v>2.504</v>
      </c>
      <c r="C206" s="1" t="s">
        <v>4</v>
      </c>
    </row>
    <row r="207" spans="1:3" x14ac:dyDescent="0.3">
      <c r="A207" s="1">
        <v>1991</v>
      </c>
      <c r="B207" s="2">
        <v>2.504</v>
      </c>
      <c r="C207" s="1" t="s">
        <v>4</v>
      </c>
    </row>
    <row r="208" spans="1:3" x14ac:dyDescent="0.3">
      <c r="A208" s="1">
        <v>1997</v>
      </c>
      <c r="B208" s="2">
        <v>2.504</v>
      </c>
      <c r="C208" s="1" t="s">
        <v>4</v>
      </c>
    </row>
    <row r="209" spans="1:3" x14ac:dyDescent="0.3">
      <c r="A209" s="1">
        <v>2003</v>
      </c>
      <c r="B209" s="2">
        <v>2.504</v>
      </c>
      <c r="C209" s="1" t="s">
        <v>4</v>
      </c>
    </row>
    <row r="210" spans="1:3" x14ac:dyDescent="0.3">
      <c r="A210" s="1">
        <v>2014</v>
      </c>
      <c r="B210" s="2">
        <v>2.504</v>
      </c>
      <c r="C210" s="1" t="s">
        <v>4</v>
      </c>
    </row>
    <row r="211" spans="1:3" x14ac:dyDescent="0.3">
      <c r="A211" s="1">
        <v>1991</v>
      </c>
      <c r="B211" s="2">
        <v>2.5030000000000001</v>
      </c>
      <c r="C211" s="1" t="s">
        <v>4</v>
      </c>
    </row>
    <row r="212" spans="1:3" x14ac:dyDescent="0.3">
      <c r="A212" s="1">
        <v>2010</v>
      </c>
      <c r="B212" s="2">
        <v>2.5030000000000001</v>
      </c>
      <c r="C212" s="1" t="s">
        <v>4</v>
      </c>
    </row>
    <row r="213" spans="1:3" x14ac:dyDescent="0.3">
      <c r="A213" s="1">
        <v>2002</v>
      </c>
      <c r="B213" s="2">
        <v>2.5019999999999998</v>
      </c>
      <c r="C213" s="1" t="s">
        <v>4</v>
      </c>
    </row>
    <row r="214" spans="1:3" x14ac:dyDescent="0.3">
      <c r="A214" s="1">
        <v>2005</v>
      </c>
      <c r="B214" s="2">
        <v>2.5019999999999998</v>
      </c>
      <c r="C214" s="1" t="s">
        <v>4</v>
      </c>
    </row>
    <row r="215" spans="1:3" x14ac:dyDescent="0.3">
      <c r="A215" s="1">
        <v>2017</v>
      </c>
      <c r="B215" s="2">
        <v>2.5019999999999998</v>
      </c>
      <c r="C215" s="1" t="s">
        <v>4</v>
      </c>
    </row>
    <row r="216" spans="1:3" x14ac:dyDescent="0.3">
      <c r="A216" s="1">
        <v>1993</v>
      </c>
      <c r="B216" s="2">
        <v>2.5009999999999999</v>
      </c>
      <c r="C216" s="1" t="s">
        <v>4</v>
      </c>
    </row>
    <row r="217" spans="1:3" x14ac:dyDescent="0.3">
      <c r="A217" s="1">
        <v>1990</v>
      </c>
      <c r="B217" s="2">
        <v>2.4990000000000001</v>
      </c>
      <c r="C217" s="1" t="s">
        <v>4</v>
      </c>
    </row>
    <row r="218" spans="1:3" x14ac:dyDescent="0.3">
      <c r="A218" s="1">
        <v>1998</v>
      </c>
      <c r="B218" s="2">
        <v>2.4980000000000002</v>
      </c>
      <c r="C218" s="1" t="s">
        <v>4</v>
      </c>
    </row>
    <row r="219" spans="1:3" x14ac:dyDescent="0.3">
      <c r="A219" s="1">
        <v>1990</v>
      </c>
      <c r="B219" s="2">
        <v>2.4969999999999999</v>
      </c>
      <c r="C219" s="1" t="s">
        <v>4</v>
      </c>
    </row>
    <row r="220" spans="1:3" x14ac:dyDescent="0.3">
      <c r="A220" s="1">
        <v>2008</v>
      </c>
      <c r="B220" s="2">
        <v>2.4969999999999999</v>
      </c>
      <c r="C220" s="1" t="s">
        <v>4</v>
      </c>
    </row>
    <row r="221" spans="1:3" x14ac:dyDescent="0.3">
      <c r="A221" s="1">
        <v>1995</v>
      </c>
      <c r="B221" s="2">
        <v>2.496</v>
      </c>
      <c r="C221" s="1" t="s">
        <v>4</v>
      </c>
    </row>
    <row r="222" spans="1:3" x14ac:dyDescent="0.3">
      <c r="A222" s="1">
        <v>1993</v>
      </c>
      <c r="B222" s="2">
        <v>2.4950000000000001</v>
      </c>
      <c r="C222" s="1" t="s">
        <v>4</v>
      </c>
    </row>
    <row r="223" spans="1:3" x14ac:dyDescent="0.3">
      <c r="A223" s="1">
        <v>2002</v>
      </c>
      <c r="B223" s="2">
        <v>2.4950000000000001</v>
      </c>
      <c r="C223" s="1" t="s">
        <v>4</v>
      </c>
    </row>
    <row r="224" spans="1:3" x14ac:dyDescent="0.3">
      <c r="A224" s="1">
        <v>2008</v>
      </c>
      <c r="B224" s="2">
        <v>2.4950000000000001</v>
      </c>
      <c r="C224" s="1" t="s">
        <v>4</v>
      </c>
    </row>
    <row r="225" spans="1:3" x14ac:dyDescent="0.3">
      <c r="A225" s="1">
        <v>1993</v>
      </c>
      <c r="B225" s="2">
        <v>2.4940000000000002</v>
      </c>
      <c r="C225" s="1" t="s">
        <v>4</v>
      </c>
    </row>
    <row r="226" spans="1:3" x14ac:dyDescent="0.3">
      <c r="A226" s="1">
        <v>1994</v>
      </c>
      <c r="B226" s="2">
        <v>2.4929999999999999</v>
      </c>
      <c r="C226" s="1" t="s">
        <v>4</v>
      </c>
    </row>
    <row r="227" spans="1:3" x14ac:dyDescent="0.3">
      <c r="A227" s="1">
        <v>2002</v>
      </c>
      <c r="B227" s="2">
        <v>2.4929999999999999</v>
      </c>
      <c r="C227" s="1" t="s">
        <v>4</v>
      </c>
    </row>
    <row r="228" spans="1:3" x14ac:dyDescent="0.3">
      <c r="A228" s="1">
        <v>2010</v>
      </c>
      <c r="B228" s="2">
        <v>2.4929999999999999</v>
      </c>
      <c r="C228" s="1" t="s">
        <v>4</v>
      </c>
    </row>
    <row r="229" spans="1:3" x14ac:dyDescent="0.3">
      <c r="A229" s="1">
        <v>1984</v>
      </c>
      <c r="B229" s="2">
        <v>2.492</v>
      </c>
      <c r="C229" s="1" t="s">
        <v>4</v>
      </c>
    </row>
    <row r="230" spans="1:3" x14ac:dyDescent="0.3">
      <c r="A230" s="1">
        <v>1991</v>
      </c>
      <c r="B230" s="2">
        <v>2.492</v>
      </c>
      <c r="C230" s="1" t="s">
        <v>4</v>
      </c>
    </row>
    <row r="231" spans="1:3" x14ac:dyDescent="0.3">
      <c r="A231" s="1">
        <v>2004</v>
      </c>
      <c r="B231" s="2">
        <v>2.492</v>
      </c>
      <c r="C231" s="1" t="s">
        <v>4</v>
      </c>
    </row>
    <row r="232" spans="1:3" x14ac:dyDescent="0.3">
      <c r="A232" s="1">
        <v>2007</v>
      </c>
      <c r="B232" s="2">
        <v>2.492</v>
      </c>
      <c r="C232" s="1" t="s">
        <v>4</v>
      </c>
    </row>
    <row r="233" spans="1:3" x14ac:dyDescent="0.3">
      <c r="A233" s="1">
        <v>1989</v>
      </c>
      <c r="B233" s="2">
        <v>2.4910000000000001</v>
      </c>
      <c r="C233" s="1" t="s">
        <v>4</v>
      </c>
    </row>
    <row r="234" spans="1:3" x14ac:dyDescent="0.3">
      <c r="A234" s="1">
        <v>1993</v>
      </c>
      <c r="B234" s="2">
        <v>2.4900000000000002</v>
      </c>
      <c r="C234" s="1" t="s">
        <v>4</v>
      </c>
    </row>
    <row r="235" spans="1:3" x14ac:dyDescent="0.3">
      <c r="A235" s="1">
        <v>1993</v>
      </c>
      <c r="B235" s="2">
        <v>2.4900000000000002</v>
      </c>
      <c r="C235" s="1" t="s">
        <v>4</v>
      </c>
    </row>
    <row r="236" spans="1:3" x14ac:dyDescent="0.3">
      <c r="A236" s="1">
        <v>2003</v>
      </c>
      <c r="B236" s="2">
        <v>2.4900000000000002</v>
      </c>
      <c r="C236" s="1" t="s">
        <v>4</v>
      </c>
    </row>
    <row r="237" spans="1:3" x14ac:dyDescent="0.3">
      <c r="A237" s="1">
        <v>2017</v>
      </c>
      <c r="B237" s="2">
        <v>2.4900000000000002</v>
      </c>
      <c r="C237" s="1" t="s">
        <v>4</v>
      </c>
    </row>
    <row r="238" spans="1:3" x14ac:dyDescent="0.3">
      <c r="A238" s="1">
        <v>2000</v>
      </c>
      <c r="B238" s="2">
        <v>2.4889999999999999</v>
      </c>
      <c r="C238" s="1" t="s">
        <v>4</v>
      </c>
    </row>
    <row r="239" spans="1:3" x14ac:dyDescent="0.3">
      <c r="A239" s="1">
        <v>1996</v>
      </c>
      <c r="B239" s="2">
        <v>2.488</v>
      </c>
      <c r="C239" s="1" t="s">
        <v>4</v>
      </c>
    </row>
    <row r="240" spans="1:3" x14ac:dyDescent="0.3">
      <c r="A240" s="1">
        <v>1997</v>
      </c>
      <c r="B240" s="2">
        <v>2.488</v>
      </c>
      <c r="C240" s="1" t="s">
        <v>4</v>
      </c>
    </row>
    <row r="241" spans="1:3" x14ac:dyDescent="0.3">
      <c r="A241" s="1">
        <v>2008</v>
      </c>
      <c r="B241" s="2">
        <v>2.488</v>
      </c>
      <c r="C241" s="1" t="s">
        <v>4</v>
      </c>
    </row>
    <row r="242" spans="1:3" x14ac:dyDescent="0.3">
      <c r="A242" s="1">
        <v>1988</v>
      </c>
      <c r="B242" s="2">
        <v>2.4870000000000001</v>
      </c>
      <c r="C242" s="1" t="s">
        <v>4</v>
      </c>
    </row>
    <row r="243" spans="1:3" x14ac:dyDescent="0.3">
      <c r="A243" s="1">
        <v>1987</v>
      </c>
      <c r="B243" s="2">
        <v>2.4860000000000002</v>
      </c>
      <c r="C243" s="1" t="s">
        <v>4</v>
      </c>
    </row>
    <row r="244" spans="1:3" x14ac:dyDescent="0.3">
      <c r="A244" s="1">
        <v>2002</v>
      </c>
      <c r="B244" s="2">
        <v>2.4860000000000002</v>
      </c>
      <c r="C244" s="1" t="s">
        <v>4</v>
      </c>
    </row>
    <row r="245" spans="1:3" x14ac:dyDescent="0.3">
      <c r="A245" s="1">
        <v>2003</v>
      </c>
      <c r="B245" s="2">
        <v>2.4860000000000002</v>
      </c>
      <c r="C245" s="1" t="s">
        <v>4</v>
      </c>
    </row>
    <row r="246" spans="1:3" x14ac:dyDescent="0.3">
      <c r="A246" s="1">
        <v>2011</v>
      </c>
      <c r="B246" s="2">
        <v>2.4860000000000002</v>
      </c>
      <c r="C246" s="1" t="s">
        <v>4</v>
      </c>
    </row>
    <row r="247" spans="1:3" x14ac:dyDescent="0.3">
      <c r="A247" s="1">
        <v>2011</v>
      </c>
      <c r="B247" s="2">
        <v>2.4860000000000002</v>
      </c>
      <c r="C247" s="1" t="s">
        <v>4</v>
      </c>
    </row>
    <row r="248" spans="1:3" x14ac:dyDescent="0.3">
      <c r="A248" s="1">
        <v>1989</v>
      </c>
      <c r="B248" s="2">
        <v>2.4849999999999999</v>
      </c>
      <c r="C248" s="1" t="s">
        <v>4</v>
      </c>
    </row>
    <row r="249" spans="1:3" x14ac:dyDescent="0.3">
      <c r="A249" s="1">
        <v>2016</v>
      </c>
      <c r="B249" s="2">
        <v>2.484</v>
      </c>
      <c r="C249" s="1" t="s">
        <v>4</v>
      </c>
    </row>
    <row r="250" spans="1:3" x14ac:dyDescent="0.3">
      <c r="A250" s="1">
        <v>2000</v>
      </c>
      <c r="B250" s="2">
        <v>2.4830000000000001</v>
      </c>
      <c r="C250" s="1" t="s">
        <v>4</v>
      </c>
    </row>
    <row r="251" spans="1:3" x14ac:dyDescent="0.3">
      <c r="A251" s="1">
        <v>2004</v>
      </c>
      <c r="B251" s="2">
        <v>2.4830000000000001</v>
      </c>
      <c r="C251" s="1" t="s">
        <v>4</v>
      </c>
    </row>
    <row r="252" spans="1:3" x14ac:dyDescent="0.3">
      <c r="A252" s="1">
        <v>1996</v>
      </c>
      <c r="B252" s="2">
        <v>2.4809999999999999</v>
      </c>
      <c r="C252" s="1" t="s">
        <v>4</v>
      </c>
    </row>
    <row r="253" spans="1:3" x14ac:dyDescent="0.3">
      <c r="A253" s="1">
        <v>2005</v>
      </c>
      <c r="B253" s="2">
        <v>2.4809999999999999</v>
      </c>
      <c r="C253" s="1" t="s">
        <v>4</v>
      </c>
    </row>
    <row r="254" spans="1:3" x14ac:dyDescent="0.3">
      <c r="A254" s="1">
        <v>2012</v>
      </c>
      <c r="B254" s="2">
        <v>2.48</v>
      </c>
      <c r="C254" s="1" t="s">
        <v>4</v>
      </c>
    </row>
    <row r="255" spans="1:3" x14ac:dyDescent="0.3">
      <c r="A255" s="1">
        <v>1997</v>
      </c>
      <c r="B255" s="2">
        <v>2.4769999999999999</v>
      </c>
      <c r="C255" s="1" t="s">
        <v>4</v>
      </c>
    </row>
    <row r="256" spans="1:3" x14ac:dyDescent="0.3">
      <c r="A256" s="1">
        <v>2014</v>
      </c>
      <c r="B256" s="2">
        <v>2.476</v>
      </c>
      <c r="C256" s="1" t="s">
        <v>4</v>
      </c>
    </row>
    <row r="257" spans="1:3" x14ac:dyDescent="0.3">
      <c r="A257" s="1">
        <v>2017</v>
      </c>
      <c r="B257" s="2">
        <v>2.4750000000000001</v>
      </c>
      <c r="C257" s="1" t="s">
        <v>4</v>
      </c>
    </row>
    <row r="258" spans="1:3" x14ac:dyDescent="0.3">
      <c r="A258" s="1">
        <v>1991</v>
      </c>
      <c r="B258" s="2">
        <v>2.4740000000000002</v>
      </c>
      <c r="C258" s="1" t="s">
        <v>4</v>
      </c>
    </row>
    <row r="259" spans="1:3" x14ac:dyDescent="0.3">
      <c r="A259" s="1">
        <v>2017</v>
      </c>
      <c r="B259" s="2">
        <v>2.4740000000000002</v>
      </c>
      <c r="C259" s="1" t="s">
        <v>4</v>
      </c>
    </row>
    <row r="260" spans="1:3" x14ac:dyDescent="0.3">
      <c r="A260" s="1">
        <v>1991</v>
      </c>
      <c r="B260" s="2">
        <v>2.4729999999999999</v>
      </c>
      <c r="C260" s="1" t="s">
        <v>4</v>
      </c>
    </row>
    <row r="261" spans="1:3" x14ac:dyDescent="0.3">
      <c r="A261" s="1">
        <v>1996</v>
      </c>
      <c r="B261" s="2">
        <v>2.4729999999999999</v>
      </c>
      <c r="C261" s="1" t="s">
        <v>4</v>
      </c>
    </row>
    <row r="262" spans="1:3" x14ac:dyDescent="0.3">
      <c r="A262" s="1">
        <v>1991</v>
      </c>
      <c r="B262" s="2">
        <v>2.4710000000000001</v>
      </c>
      <c r="C262" s="1" t="s">
        <v>4</v>
      </c>
    </row>
    <row r="263" spans="1:3" x14ac:dyDescent="0.3">
      <c r="A263" s="1">
        <v>1988</v>
      </c>
      <c r="B263" s="2">
        <v>2.4689999999999999</v>
      </c>
      <c r="C263" s="1" t="s">
        <v>4</v>
      </c>
    </row>
    <row r="264" spans="1:3" x14ac:dyDescent="0.3">
      <c r="A264" s="1">
        <v>1988</v>
      </c>
      <c r="B264" s="2">
        <v>2.4689999999999999</v>
      </c>
      <c r="C264" s="1" t="s">
        <v>4</v>
      </c>
    </row>
    <row r="265" spans="1:3" x14ac:dyDescent="0.3">
      <c r="A265" s="1">
        <v>2010</v>
      </c>
      <c r="B265" s="2">
        <v>2.4689999999999999</v>
      </c>
      <c r="C265" s="1" t="s">
        <v>4</v>
      </c>
    </row>
    <row r="266" spans="1:3" x14ac:dyDescent="0.3">
      <c r="A266" s="1">
        <v>1989</v>
      </c>
      <c r="B266" s="2">
        <v>2.4670000000000001</v>
      </c>
      <c r="C266" s="1" t="s">
        <v>4</v>
      </c>
    </row>
    <row r="267" spans="1:3" x14ac:dyDescent="0.3">
      <c r="A267" s="1">
        <v>1998</v>
      </c>
      <c r="B267" s="2">
        <v>2.4670000000000001</v>
      </c>
      <c r="C267" s="1" t="s">
        <v>4</v>
      </c>
    </row>
    <row r="268" spans="1:3" x14ac:dyDescent="0.3">
      <c r="A268" s="1">
        <v>1986</v>
      </c>
      <c r="B268" s="2">
        <v>2.4660000000000002</v>
      </c>
      <c r="C268" s="1" t="s">
        <v>4</v>
      </c>
    </row>
    <row r="269" spans="1:3" x14ac:dyDescent="0.3">
      <c r="A269" s="1">
        <v>2003</v>
      </c>
      <c r="B269" s="2">
        <v>2.4660000000000002</v>
      </c>
      <c r="C269" s="1" t="s">
        <v>4</v>
      </c>
    </row>
    <row r="270" spans="1:3" x14ac:dyDescent="0.3">
      <c r="A270" s="1">
        <v>2017</v>
      </c>
      <c r="B270" s="2">
        <v>2.4660000000000002</v>
      </c>
      <c r="C270" s="1" t="s">
        <v>4</v>
      </c>
    </row>
    <row r="271" spans="1:3" x14ac:dyDescent="0.3">
      <c r="A271" s="1">
        <v>1986</v>
      </c>
      <c r="B271" s="2">
        <v>2.4620000000000002</v>
      </c>
      <c r="C271" s="1" t="s">
        <v>4</v>
      </c>
    </row>
    <row r="272" spans="1:3" x14ac:dyDescent="0.3">
      <c r="A272" s="1">
        <v>1989</v>
      </c>
      <c r="B272" s="2">
        <v>2.4620000000000002</v>
      </c>
      <c r="C272" s="1" t="s">
        <v>4</v>
      </c>
    </row>
    <row r="273" spans="1:3" x14ac:dyDescent="0.3">
      <c r="A273" s="1">
        <v>1997</v>
      </c>
      <c r="B273" s="2">
        <v>2.46</v>
      </c>
      <c r="C273" s="1" t="s">
        <v>4</v>
      </c>
    </row>
    <row r="274" spans="1:3" x14ac:dyDescent="0.3">
      <c r="A274" s="1">
        <v>2000</v>
      </c>
      <c r="B274" s="2">
        <v>2.46</v>
      </c>
      <c r="C274" s="1" t="s">
        <v>4</v>
      </c>
    </row>
    <row r="275" spans="1:3" x14ac:dyDescent="0.3">
      <c r="A275" s="1">
        <v>1995</v>
      </c>
      <c r="B275" s="2">
        <v>2.4580000000000002</v>
      </c>
      <c r="C275" s="1" t="s">
        <v>4</v>
      </c>
    </row>
    <row r="276" spans="1:3" x14ac:dyDescent="0.3">
      <c r="A276" s="1">
        <v>2001</v>
      </c>
      <c r="B276" s="2">
        <v>2.4569999999999999</v>
      </c>
      <c r="C276" s="1" t="s">
        <v>4</v>
      </c>
    </row>
    <row r="277" spans="1:3" x14ac:dyDescent="0.3">
      <c r="A277" s="1">
        <v>2000</v>
      </c>
      <c r="B277" s="2">
        <v>2.456</v>
      </c>
      <c r="C277" s="1" t="s">
        <v>4</v>
      </c>
    </row>
    <row r="278" spans="1:3" x14ac:dyDescent="0.3">
      <c r="A278" s="1">
        <v>2014</v>
      </c>
      <c r="B278" s="2">
        <v>2.456</v>
      </c>
      <c r="C278" s="1" t="s">
        <v>4</v>
      </c>
    </row>
    <row r="279" spans="1:3" x14ac:dyDescent="0.3">
      <c r="A279" s="1">
        <v>1996</v>
      </c>
      <c r="B279" s="2">
        <v>2.4510000000000001</v>
      </c>
      <c r="C279" s="1" t="s">
        <v>4</v>
      </c>
    </row>
    <row r="280" spans="1:3" x14ac:dyDescent="0.3">
      <c r="A280" s="1">
        <v>2016</v>
      </c>
      <c r="B280" s="2">
        <v>2.4470000000000001</v>
      </c>
      <c r="C280" s="1" t="s">
        <v>4</v>
      </c>
    </row>
    <row r="281" spans="1:3" x14ac:dyDescent="0.3">
      <c r="A281" s="1">
        <v>2008</v>
      </c>
      <c r="B281" s="2">
        <v>2.444</v>
      </c>
      <c r="C281" s="1" t="s">
        <v>4</v>
      </c>
    </row>
    <row r="282" spans="1:3" x14ac:dyDescent="0.3">
      <c r="A282" s="1">
        <v>2017</v>
      </c>
      <c r="B282" s="2">
        <v>2.4359999999999999</v>
      </c>
      <c r="C282" s="1" t="s">
        <v>4</v>
      </c>
    </row>
  </sheetData>
  <sortState xmlns:xlrd2="http://schemas.microsoft.com/office/spreadsheetml/2017/richdata2" ref="A2:C282">
    <sortCondition ref="C2:C2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Duy Hoang</cp:lastModifiedBy>
  <dcterms:created xsi:type="dcterms:W3CDTF">2017-12-06T02:18:33Z</dcterms:created>
  <dcterms:modified xsi:type="dcterms:W3CDTF">2025-09-30T16:12:51Z</dcterms:modified>
</cp:coreProperties>
</file>