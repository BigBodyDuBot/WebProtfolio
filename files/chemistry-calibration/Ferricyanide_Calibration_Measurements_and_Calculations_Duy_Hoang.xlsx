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e9ecf705f18044/Pictures/Chem 310/"/>
    </mc:Choice>
  </mc:AlternateContent>
  <xr:revisionPtr revIDLastSave="9" documentId="8_{F38FDFB0-BFA0-4710-AA6F-97DAAE63F4AA}" xr6:coauthVersionLast="47" xr6:coauthVersionMax="47" xr10:uidLastSave="{333CB224-AEBE-4818-A852-E7FE268FF025}"/>
  <bookViews>
    <workbookView xWindow="-120" yWindow="-120" windowWidth="29040" windowHeight="15720" xr2:uid="{82FB861F-A9B8-451C-B991-AA5098EB3146}"/>
  </bookViews>
  <sheets>
    <sheet name="Part 1" sheetId="1" r:id="rId1"/>
    <sheet name="Par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3" l="1"/>
  <c r="A29" i="3"/>
  <c r="C29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J37" i="3"/>
  <c r="I37" i="3"/>
  <c r="D29" i="3"/>
  <c r="J31" i="3"/>
  <c r="J28" i="3"/>
  <c r="J26" i="3"/>
  <c r="J23" i="3"/>
  <c r="B13" i="3"/>
  <c r="D8" i="3"/>
  <c r="E8" i="3"/>
  <c r="F8" i="3"/>
  <c r="O5" i="3"/>
  <c r="J30" i="3" s="1"/>
  <c r="N5" i="3"/>
  <c r="J27" i="3" s="1"/>
  <c r="M5" i="3"/>
  <c r="J24" i="3" s="1"/>
  <c r="O4" i="3"/>
  <c r="J29" i="3" s="1"/>
  <c r="M3" i="3"/>
  <c r="J22" i="3" s="1"/>
  <c r="M21" i="3" s="1" a="1"/>
  <c r="M21" i="3" s="1"/>
  <c r="N3" i="3"/>
  <c r="J25" i="3" s="1"/>
  <c r="O3" i="3"/>
  <c r="P3" i="3"/>
  <c r="Q3" i="3"/>
  <c r="M4" i="3"/>
  <c r="N4" i="3"/>
  <c r="P4" i="3"/>
  <c r="J32" i="3" s="1"/>
  <c r="Q4" i="3"/>
  <c r="J35" i="3" s="1"/>
  <c r="J34" i="3" s="1"/>
  <c r="P5" i="3"/>
  <c r="J33" i="3" s="1"/>
  <c r="Q5" i="3"/>
  <c r="J36" i="3" s="1"/>
  <c r="B81" i="1"/>
  <c r="B87" i="1"/>
  <c r="B76" i="1"/>
  <c r="B77" i="1"/>
  <c r="B78" i="1"/>
  <c r="B62" i="1"/>
  <c r="B63" i="1"/>
  <c r="B32" i="1"/>
  <c r="B31" i="1"/>
  <c r="F18" i="1"/>
  <c r="F19" i="1"/>
  <c r="F20" i="1"/>
  <c r="F21" i="1"/>
  <c r="F17" i="1"/>
  <c r="B13" i="1"/>
  <c r="B61" i="1" s="1"/>
  <c r="B12" i="1"/>
  <c r="G18" i="1" s="1"/>
  <c r="D17" i="3"/>
  <c r="D21" i="3" s="1"/>
  <c r="E17" i="3"/>
  <c r="D22" i="3" s="1"/>
  <c r="F17" i="3"/>
  <c r="D23" i="3" s="1"/>
  <c r="G17" i="3"/>
  <c r="D24" i="3" s="1"/>
  <c r="H17" i="3"/>
  <c r="D25" i="3" s="1"/>
  <c r="G8" i="3"/>
  <c r="H8" i="3"/>
  <c r="E29" i="3" l="1"/>
  <c r="F29" i="3" s="1"/>
  <c r="B12" i="3"/>
  <c r="C25" i="1"/>
  <c r="C28" i="1"/>
  <c r="G19" i="1"/>
  <c r="C30" i="1"/>
  <c r="C29" i="1"/>
  <c r="C27" i="1"/>
  <c r="C26" i="1"/>
  <c r="G21" i="1"/>
  <c r="G20" i="1"/>
  <c r="G17" i="1"/>
  <c r="B37" i="1"/>
  <c r="B44" i="1" s="1"/>
  <c r="B40" i="1"/>
  <c r="C37" i="1"/>
  <c r="B45" i="1" s="1"/>
  <c r="B69" i="1" s="1"/>
  <c r="B38" i="1"/>
  <c r="B46" i="1" s="1"/>
  <c r="B68" i="1" s="1"/>
  <c r="B39" i="1"/>
  <c r="B48" i="1" s="1"/>
  <c r="C38" i="1"/>
  <c r="B47" i="1" s="1"/>
  <c r="B70" i="1" s="1"/>
  <c r="H9" i="3" l="1"/>
  <c r="E25" i="3" s="1"/>
  <c r="G9" i="3"/>
  <c r="E24" i="3" s="1"/>
  <c r="F9" i="3"/>
  <c r="D9" i="3"/>
  <c r="E21" i="3" s="1"/>
  <c r="E9" i="3"/>
  <c r="E22" i="3" s="1"/>
  <c r="E23" i="3"/>
  <c r="C32" i="1"/>
  <c r="B72" i="1" s="1"/>
  <c r="C31" i="1"/>
  <c r="B67" i="1"/>
  <c r="B55" i="1"/>
  <c r="B57" i="1" s="1"/>
  <c r="B58" i="1" s="1"/>
  <c r="B51" i="1" l="1"/>
  <c r="B52" i="1" s="1"/>
  <c r="B89" i="1" s="1"/>
  <c r="B71" i="1"/>
  <c r="B83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<sst xmlns="http://schemas.openxmlformats.org/spreadsheetml/2006/main" count="155" uniqueCount="138">
  <si>
    <t>Trial</t>
  </si>
  <si>
    <t>Blank Absorbance (0.01 M NaOH)</t>
  </si>
  <si>
    <t>Mean</t>
  </si>
  <si>
    <t>SD</t>
  </si>
  <si>
    <t>STANDARDS DATA</t>
  </si>
  <si>
    <t>Std #</t>
  </si>
  <si>
    <t>Concentration (M)</t>
  </si>
  <si>
    <t>Abs 1</t>
  </si>
  <si>
    <t>Abs 2</t>
  </si>
  <si>
    <t>Avg Abs</t>
  </si>
  <si>
    <t>Corrected Abs</t>
  </si>
  <si>
    <t>UNKNOWN MEASUREMENTS</t>
  </si>
  <si>
    <t>Unknown Trial</t>
  </si>
  <si>
    <t>Absorbance</t>
  </si>
  <si>
    <t>Mean (excluding outlier)</t>
  </si>
  <si>
    <t>LINEST ANALYSIS</t>
  </si>
  <si>
    <t>LINEST Output</t>
  </si>
  <si>
    <t>Slope</t>
  </si>
  <si>
    <t>Intercept</t>
  </si>
  <si>
    <t>Values</t>
  </si>
  <si>
    <t>Standard Errors</t>
  </si>
  <si>
    <t>R²</t>
  </si>
  <si>
    <t>SE(y)</t>
  </si>
  <si>
    <t>CALCULATIONS</t>
  </si>
  <si>
    <t>Parameter</t>
  </si>
  <si>
    <t>Value</t>
  </si>
  <si>
    <t>Formula/Note</t>
  </si>
  <si>
    <t>Slope (m)</t>
  </si>
  <si>
    <t>M⁻¹</t>
  </si>
  <si>
    <t>Intercept (b)</t>
  </si>
  <si>
    <t>SE(slope)</t>
  </si>
  <si>
    <t>SE(intercept)</t>
  </si>
  <si>
    <t>Unknown Concentration</t>
  </si>
  <si>
    <t>Avg Corrected Abs</t>
  </si>
  <si>
    <t>[Unknown] calc</t>
  </si>
  <si>
    <t>M</t>
  </si>
  <si>
    <t>Molar Absorptivity</t>
  </si>
  <si>
    <t>Calculated ε</t>
  </si>
  <si>
    <t>M⁻¹cm⁻¹ (path=1cm)</t>
  </si>
  <si>
    <t>Literature ε</t>
  </si>
  <si>
    <t>M⁻¹cm⁻¹</t>
  </si>
  <si>
    <t>Absolute Error</t>
  </si>
  <si>
    <t>Relative Error %</t>
  </si>
  <si>
    <t>%</t>
  </si>
  <si>
    <t>LOD &amp; LOQ</t>
  </si>
  <si>
    <t>SD of blank</t>
  </si>
  <si>
    <t>LOD</t>
  </si>
  <si>
    <t>LOQ</t>
  </si>
  <si>
    <t>UNCERTAINTY IN UNKNOWN CONCENTRATION</t>
  </si>
  <si>
    <t>Uncertainty Calculation</t>
  </si>
  <si>
    <t>SE(m)</t>
  </si>
  <si>
    <t>SE(b)</t>
  </si>
  <si>
    <t>Avg Abs unknown</t>
  </si>
  <si>
    <t>SD of unknown</t>
  </si>
  <si>
    <t>n (# measurements)</t>
  </si>
  <si>
    <t>Partial derivatives:</t>
  </si>
  <si>
    <t>∂C/∂m</t>
  </si>
  <si>
    <t>∂C/∂b</t>
  </si>
  <si>
    <t>∂C/∂A</t>
  </si>
  <si>
    <t>Uncertainty in C:</t>
  </si>
  <si>
    <t>u(C)</t>
  </si>
  <si>
    <t>RSD of concentration</t>
  </si>
  <si>
    <t>95% Confidence Interval</t>
  </si>
  <si>
    <t>t-value (n-1=4, 95%)</t>
  </si>
  <si>
    <t>CI</t>
  </si>
  <si>
    <t>±M</t>
  </si>
  <si>
    <t>Final Result</t>
  </si>
  <si>
    <t>±</t>
  </si>
  <si>
    <t>Blank</t>
  </si>
  <si>
    <t>10 ml Unknown</t>
  </si>
  <si>
    <t>0 ml of standard</t>
  </si>
  <si>
    <t>5 ml of standard</t>
  </si>
  <si>
    <t>10 ml of standard</t>
  </si>
  <si>
    <t>15 ml of standard</t>
  </si>
  <si>
    <t>20 ml of standard</t>
  </si>
  <si>
    <t>Solution1</t>
  </si>
  <si>
    <t>Solution2</t>
  </si>
  <si>
    <t>Solution3</t>
  </si>
  <si>
    <t>Solution4</t>
  </si>
  <si>
    <t>Solution5</t>
  </si>
  <si>
    <t>Corrected1</t>
  </si>
  <si>
    <t>Corrected2</t>
  </si>
  <si>
    <t>Corrected3</t>
  </si>
  <si>
    <t>Corrected4</t>
  </si>
  <si>
    <t>Corrected5</t>
  </si>
  <si>
    <t>VS: initial volume of standard</t>
  </si>
  <si>
    <t>V spike (mL)</t>
  </si>
  <si>
    <t>[S]added (M)</t>
  </si>
  <si>
    <t>Corrected Abs (y-axis)</t>
  </si>
  <si>
    <t>sample 1</t>
  </si>
  <si>
    <t>sample 2</t>
  </si>
  <si>
    <t>sample 3</t>
  </si>
  <si>
    <t>sample 4</t>
  </si>
  <si>
    <t>sample 5</t>
  </si>
  <si>
    <t>V: final volume = 50 mL</t>
  </si>
  <si>
    <t>[S]i = 0.0200 M (initial molar concentration of standard)</t>
  </si>
  <si>
    <t>V0: initial volume of unknown = 10 mL</t>
  </si>
  <si>
    <t xml:space="preserve">DATA ARRAY FOR LINEST </t>
  </si>
  <si>
    <t>Abs 3</t>
  </si>
  <si>
    <t>Absorbance vs [S]f</t>
  </si>
  <si>
    <t>Sample</t>
  </si>
  <si>
    <t>[S]i(Vs/V0)</t>
  </si>
  <si>
    <t>Is+x(Vf/V0)</t>
  </si>
  <si>
    <t>Corrected Absorbance</t>
  </si>
  <si>
    <t>Measurments</t>
  </si>
  <si>
    <t>Sample 1</t>
  </si>
  <si>
    <t>Sample 2</t>
  </si>
  <si>
    <t>Sample 3</t>
  </si>
  <si>
    <t>Sample 4</t>
  </si>
  <si>
    <t>Sample 5</t>
  </si>
  <si>
    <t>Average</t>
  </si>
  <si>
    <t>Avg Abs Mean</t>
  </si>
  <si>
    <t>Corrected Abs Mean</t>
  </si>
  <si>
    <t>S.D</t>
  </si>
  <si>
    <t>Solution Preperation</t>
  </si>
  <si>
    <t xml:space="preserve">Solution </t>
  </si>
  <si>
    <t>Volume of Sample Added, mL</t>
  </si>
  <si>
    <t>Volume of Standard Added, mL</t>
  </si>
  <si>
    <t>Volume of Solvent Added, mL</t>
  </si>
  <si>
    <t>Total Volume of Solution, mL</t>
  </si>
  <si>
    <t>Linest</t>
  </si>
  <si>
    <t>S.D of Slope</t>
  </si>
  <si>
    <t>R2</t>
  </si>
  <si>
    <t>F-observed</t>
  </si>
  <si>
    <t>ssreg</t>
  </si>
  <si>
    <t>x-Intercept</t>
  </si>
  <si>
    <t>S.D of Intercept</t>
  </si>
  <si>
    <t>S.D of y</t>
  </si>
  <si>
    <t>Degrees of Freedom</t>
  </si>
  <si>
    <t>ssreside</t>
  </si>
  <si>
    <t>Initial Concentraion of Unknown</t>
  </si>
  <si>
    <t>x- intercept [X]i</t>
  </si>
  <si>
    <t>Concentration of K3Fe(CN)6</t>
  </si>
  <si>
    <t>S.D of Concentration (M)</t>
  </si>
  <si>
    <t>RSD of Concentration (%)</t>
  </si>
  <si>
    <t>Absolute Error of Concentration</t>
  </si>
  <si>
    <t>Relative Error of Conentration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</si>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</sst>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External Standard Calibration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'Part 1'!$B$17:$B$21</c:f>
              <c:numCache>
                <c:formatCode>General</c:formatCode>
                <c:ptCount val="5"/>
                <c:pt idx="0">
                  <c:v>2.0000000000000001E-4</c:v>
                </c:pt>
                <c:pt idx="1">
                  <c:v>4.0000000000000002E-4</c:v>
                </c:pt>
                <c:pt idx="2">
                  <c:v>5.9999999999999995E-4</c:v>
                </c:pt>
                <c:pt idx="3">
                  <c:v>8.0000000000000004E-4</c:v>
                </c:pt>
                <c:pt idx="4">
                  <c:v>1E-3</c:v>
                </c:pt>
              </c:numCache>
            </c:numRef>
          </c:xVal>
          <c:yVal>
            <c:numRef>
              <c:f>'Part 1'!$G$17:$G$21</c:f>
              <c:numCache>
                <c:formatCode>General</c:formatCode>
                <c:ptCount val="5"/>
                <c:pt idx="0">
                  <c:v>0.17879999999999996</c:v>
                </c:pt>
                <c:pt idx="1">
                  <c:v>0.38646666666666674</c:v>
                </c:pt>
                <c:pt idx="2">
                  <c:v>0.57879999999999998</c:v>
                </c:pt>
                <c:pt idx="3">
                  <c:v>0.7354666666666666</c:v>
                </c:pt>
                <c:pt idx="4">
                  <c:v>0.89780000000000004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69-4F75-8B86-D46472145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442928"/>
        <c:axId val="296441488"/>
      </c:scatterChart>
      <c:valAx>
        <c:axId val="29644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Concentration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441488"/>
        <c:crosses val="autoZero"/>
        <c:crossBetween val="midCat"/>
      </c:valAx>
      <c:valAx>
        <c:axId val="29644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Corrected 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442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Absorbance vs.</a:t>
            </a:r>
            <a:r>
              <a:rPr lang="en-US" baseline="0"/>
              <a:t> [S]f Plot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Part2!$J$21</c:f>
              <c:strCache>
                <c:ptCount val="1"/>
                <c:pt idx="0">
                  <c:v>Is+x(Vf/V0)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Part2!$I$22:$I$36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2.5000000000000001E-4</c:v>
                </c:pt>
                <c:pt idx="4">
                  <c:v>2.5000000000000001E-4</c:v>
                </c:pt>
                <c:pt idx="5">
                  <c:v>2.5000000000000001E-4</c:v>
                </c:pt>
                <c:pt idx="6">
                  <c:v>5.0000000000000001E-4</c:v>
                </c:pt>
                <c:pt idx="7">
                  <c:v>5.0000000000000001E-4</c:v>
                </c:pt>
                <c:pt idx="8">
                  <c:v>5.0000000000000001E-4</c:v>
                </c:pt>
                <c:pt idx="9">
                  <c:v>7.5000000000000002E-4</c:v>
                </c:pt>
                <c:pt idx="10">
                  <c:v>7.5000000000000002E-4</c:v>
                </c:pt>
                <c:pt idx="11">
                  <c:v>7.5000000000000002E-4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</c:numCache>
            </c:numRef>
          </c:xVal>
          <c:yVal>
            <c:numRef>
              <c:f>Part2!$J$22:$J$36</c:f>
              <c:numCache>
                <c:formatCode>General</c:formatCode>
                <c:ptCount val="15"/>
                <c:pt idx="0">
                  <c:v>0.38000000000000006</c:v>
                </c:pt>
                <c:pt idx="1">
                  <c:v>0.36500000000000005</c:v>
                </c:pt>
                <c:pt idx="2">
                  <c:v>0.33</c:v>
                </c:pt>
                <c:pt idx="3">
                  <c:v>0.64500000000000002</c:v>
                </c:pt>
                <c:pt idx="4">
                  <c:v>0.57999999999999996</c:v>
                </c:pt>
                <c:pt idx="5">
                  <c:v>0.56499999999999995</c:v>
                </c:pt>
                <c:pt idx="6">
                  <c:v>0.81</c:v>
                </c:pt>
                <c:pt idx="7">
                  <c:v>0.87999999999999989</c:v>
                </c:pt>
                <c:pt idx="8">
                  <c:v>0.82000000000000006</c:v>
                </c:pt>
                <c:pt idx="9">
                  <c:v>1.06</c:v>
                </c:pt>
                <c:pt idx="10">
                  <c:v>1.04</c:v>
                </c:pt>
                <c:pt idx="11">
                  <c:v>1.0900000000000001</c:v>
                </c:pt>
                <c:pt idx="12">
                  <c:v>1.4250000000000003</c:v>
                </c:pt>
                <c:pt idx="13">
                  <c:v>1.4250000000000003</c:v>
                </c:pt>
                <c:pt idx="14">
                  <c:v>1.4000000000000001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7C-4D72-9529-6986EDA39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978352"/>
        <c:axId val="484978832"/>
      </c:scatterChart>
      <c:valAx>
        <c:axId val="484978352"/>
        <c:scaling>
          <c:orientation val="minMax"/>
          <c:max val="1.0000000000000002E-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Is+x(Vf/V0)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978832"/>
        <c:crosses val="autoZero"/>
        <c:crossBetween val="midCat"/>
        <c:majorUnit val="2.5000000000000011E-4"/>
      </c:valAx>
      <c:valAx>
        <c:axId val="48497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[S]i(Vs/V0)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978352"/>
        <c:crosses val="autoZero"/>
        <c:crossBetween val="midCat"/>
        <c:majorUnit val="0.2"/>
        <c:min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92074</xdr:colOff>
      <xdr:row>8</xdr:row>
      <xdr:rowOff>25400</xdr:rowOff>
    </xdr:from>
    <xdr:to>
      <xdr:col>19</xdr:col>
      <xdr:colOff>6350</xdr:colOff>
      <xdr:row>30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E62C7E-0519-B392-0DFE-E62C6C369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695324</xdr:colOff>
      <xdr:row>29</xdr:row>
      <xdr:rowOff>185737</xdr:rowOff>
    </xdr:from>
    <xdr:to>
      <xdr:col>5</xdr:col>
      <xdr:colOff>790574</xdr:colOff>
      <xdr:row>52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45283D-94FD-B8DB-27B6-F38489C60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0.71838</cdr:x>
      <cdr:y>0.19781</cdr:y>
    </cdr:from>
    <cdr:to>
      <cdr:x>0.84355</cdr:x>
      <cdr:y>0.40765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A38170D-541E-16DE-9F3E-D97C8A7FB594}"/>
            </a:ext>
          </a:extLst>
        </cdr:cNvPr>
        <cdr:cNvSpPr txBox="1"/>
      </cdr:nvSpPr>
      <cdr:spPr>
        <a:xfrm xmlns:a="http://schemas.openxmlformats.org/drawingml/2006/main">
          <a:off x="5248276" y="862013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y=1033.33x+0.3377</a:t>
          </a:r>
        </a:p>
        <a:p xmlns:a="http://schemas.openxmlformats.org/drawingml/2006/main">
          <a:r>
            <a:rPr lang="en-US" sz="1100" kern="1200"/>
            <a:t>R</a:t>
          </a:r>
          <a:r>
            <a:rPr lang="en-US" sz="1100" kern="1200" baseline="30000"/>
            <a:t>2</a:t>
          </a:r>
          <a:r>
            <a:rPr lang="en-US" sz="1100" kern="1200" baseline="0"/>
            <a:t> = 0.9875</a:t>
          </a:r>
        </a:p>
        <a:p xmlns:a="http://schemas.openxmlformats.org/drawingml/2006/main">
          <a:endParaRPr lang="en-US" sz="1100" kern="1200"/>
        </a:p>
      </cdr:txBody>
    </cdr: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D383-9E78-43BF-AB8C-446860953041}">
  <dimension ref="A1:G89"/>
  <sheetViews>
    <sheetView tabSelected="1" workbookViewId="0">
      <selection activeCell="C11" sqref="C11"/>
    </sheetView>
  </sheetViews>
  <sheetFormatPr defaultRowHeight="15" x14ac:dyDescent="0.25"/>
  <cols>
    <col min="1" max="1" width="19.28515625" customWidth="1"/>
    <col min="2" max="2" width="27.140625" customWidth="1"/>
    <col min="3" max="3" width="16.85546875" customWidth="1"/>
  </cols>
  <sheetData>
    <row r="1" spans="1:7" x14ac:dyDescent="0.25">
      <c r="A1" t="s">
        <v>0</v>
      </c>
      <c r="B1" t="s">
        <v>1</v>
      </c>
    </row>
    <row r="2" spans="1:7" x14ac:dyDescent="0.25">
      <c r="A2">
        <v>1</v>
      </c>
      <c r="B2">
        <v>2.7E-2</v>
      </c>
    </row>
    <row r="3" spans="1:7" x14ac:dyDescent="0.25">
      <c r="A3">
        <v>2</v>
      </c>
      <c r="B3">
        <v>6.0000000000000001E-3</v>
      </c>
    </row>
    <row r="4" spans="1:7" x14ac:dyDescent="0.25">
      <c r="A4">
        <v>3</v>
      </c>
      <c r="B4">
        <v>6.0000000000000001E-3</v>
      </c>
    </row>
    <row r="5" spans="1:7" x14ac:dyDescent="0.25">
      <c r="A5">
        <v>4</v>
      </c>
      <c r="B5">
        <v>6.0000000000000001E-3</v>
      </c>
    </row>
    <row r="6" spans="1:7" x14ac:dyDescent="0.25">
      <c r="A6">
        <v>5</v>
      </c>
      <c r="B6">
        <v>-1.9E-2</v>
      </c>
    </row>
    <row r="7" spans="1:7" x14ac:dyDescent="0.25">
      <c r="A7">
        <v>6</v>
      </c>
      <c r="B7">
        <v>5.0000000000000001E-3</v>
      </c>
    </row>
    <row r="8" spans="1:7" x14ac:dyDescent="0.25">
      <c r="A8">
        <v>7</v>
      </c>
      <c r="B8">
        <v>-1.7999999999999999E-2</v>
      </c>
    </row>
    <row r="9" spans="1:7" x14ac:dyDescent="0.25">
      <c r="A9">
        <v>8</v>
      </c>
      <c r="B9">
        <v>4.0000000000000001E-3</v>
      </c>
    </row>
    <row r="10" spans="1:7" x14ac:dyDescent="0.25">
      <c r="A10">
        <v>9</v>
      </c>
      <c r="B10">
        <v>8.9999999999999993E-3</v>
      </c>
    </row>
    <row r="11" spans="1:7" x14ac:dyDescent="0.25">
      <c r="A11">
        <v>10</v>
      </c>
      <c r="B11">
        <v>1.6E-2</v>
      </c>
    </row>
    <row r="12" spans="1:7" x14ac:dyDescent="0.25">
      <c r="A12" t="s">
        <v>2</v>
      </c>
      <c r="B12" s="3">
        <f>AVERAGE(B2:B11)</f>
        <v>4.2000000000000006E-3</v>
      </c>
    </row>
    <row r="13" spans="1:7" x14ac:dyDescent="0.25">
      <c r="A13" t="s">
        <v>3</v>
      </c>
      <c r="B13">
        <f>_xlfn.STDEV.S(B2:B11)</f>
        <v>1.3838753958037952E-2</v>
      </c>
    </row>
    <row r="15" spans="1:7" ht="15.75" x14ac:dyDescent="0.25">
      <c r="A15" s="1" t="s">
        <v>4</v>
      </c>
    </row>
    <row r="16" spans="1:7" x14ac:dyDescent="0.25">
      <c r="A16" t="s">
        <v>5</v>
      </c>
      <c r="B16" t="s">
        <v>6</v>
      </c>
      <c r="C16" t="s">
        <v>7</v>
      </c>
      <c r="D16" t="s">
        <v>8</v>
      </c>
      <c r="E16" t="s">
        <v>98</v>
      </c>
      <c r="F16" t="s">
        <v>9</v>
      </c>
      <c r="G16" t="s">
        <v>10</v>
      </c>
    </row>
    <row r="17" spans="1:7" x14ac:dyDescent="0.25">
      <c r="A17">
        <v>1</v>
      </c>
      <c r="B17">
        <v>2.0000000000000001E-4</v>
      </c>
      <c r="C17">
        <v>0.18099999999999999</v>
      </c>
      <c r="D17">
        <v>0.187</v>
      </c>
      <c r="E17">
        <v>0.18099999999999999</v>
      </c>
      <c r="F17">
        <f>AVERAGE(C17:E17)</f>
        <v>0.18299999999999997</v>
      </c>
      <c r="G17">
        <f>F17-$B$12</f>
        <v>0.17879999999999996</v>
      </c>
    </row>
    <row r="18" spans="1:7" x14ac:dyDescent="0.25">
      <c r="A18">
        <v>2</v>
      </c>
      <c r="B18">
        <v>4.0000000000000002E-4</v>
      </c>
      <c r="C18">
        <v>0.39400000000000002</v>
      </c>
      <c r="D18">
        <v>0.379</v>
      </c>
      <c r="E18">
        <v>0.39900000000000002</v>
      </c>
      <c r="F18">
        <f t="shared" ref="F18:F21" si="0">AVERAGE(C18:E18)</f>
        <v>0.39066666666666672</v>
      </c>
      <c r="G18">
        <f>F18-$B$12</f>
        <v>0.38646666666666674</v>
      </c>
    </row>
    <row r="19" spans="1:7" x14ac:dyDescent="0.25">
      <c r="A19">
        <v>3</v>
      </c>
      <c r="B19">
        <v>5.9999999999999995E-4</v>
      </c>
      <c r="C19">
        <v>0.57699999999999996</v>
      </c>
      <c r="D19">
        <v>0.58699999999999997</v>
      </c>
      <c r="E19">
        <v>0.58499999999999996</v>
      </c>
      <c r="F19">
        <f t="shared" si="0"/>
        <v>0.58299999999999996</v>
      </c>
      <c r="G19">
        <f>F19-$B$12</f>
        <v>0.57879999999999998</v>
      </c>
    </row>
    <row r="20" spans="1:7" x14ac:dyDescent="0.25">
      <c r="A20">
        <v>4</v>
      </c>
      <c r="B20">
        <v>8.0000000000000004E-4</v>
      </c>
      <c r="C20">
        <v>0.745</v>
      </c>
      <c r="D20">
        <v>0.73699999999999999</v>
      </c>
      <c r="E20">
        <v>0.73699999999999999</v>
      </c>
      <c r="F20">
        <f t="shared" si="0"/>
        <v>0.73966666666666658</v>
      </c>
      <c r="G20">
        <f>F20-$B$12</f>
        <v>0.7354666666666666</v>
      </c>
    </row>
    <row r="21" spans="1:7" x14ac:dyDescent="0.25">
      <c r="A21">
        <v>5</v>
      </c>
      <c r="B21">
        <v>1E-3</v>
      </c>
      <c r="C21">
        <v>0.89200000000000002</v>
      </c>
      <c r="D21">
        <v>0.90700000000000003</v>
      </c>
      <c r="E21">
        <v>0.90700000000000003</v>
      </c>
      <c r="F21">
        <f t="shared" si="0"/>
        <v>0.90200000000000002</v>
      </c>
      <c r="G21">
        <f>F21-$B$12</f>
        <v>0.89780000000000004</v>
      </c>
    </row>
    <row r="23" spans="1:7" ht="15.75" x14ac:dyDescent="0.25">
      <c r="A23" s="2" t="s">
        <v>11</v>
      </c>
    </row>
    <row r="24" spans="1:7" x14ac:dyDescent="0.25">
      <c r="A24" t="s">
        <v>12</v>
      </c>
      <c r="B24" t="s">
        <v>13</v>
      </c>
      <c r="C24" t="s">
        <v>10</v>
      </c>
    </row>
    <row r="25" spans="1:7" x14ac:dyDescent="0.25">
      <c r="A25">
        <v>1</v>
      </c>
      <c r="B25">
        <v>0.46100000000000002</v>
      </c>
      <c r="C25">
        <f t="shared" ref="C25:C30" si="1">B25-$B$12</f>
        <v>0.45680000000000004</v>
      </c>
    </row>
    <row r="26" spans="1:7" x14ac:dyDescent="0.25">
      <c r="A26">
        <v>2</v>
      </c>
      <c r="B26">
        <v>0.46</v>
      </c>
      <c r="C26">
        <f t="shared" si="1"/>
        <v>0.45580000000000004</v>
      </c>
    </row>
    <row r="27" spans="1:7" x14ac:dyDescent="0.25">
      <c r="A27">
        <v>3</v>
      </c>
      <c r="B27">
        <v>0.46</v>
      </c>
      <c r="C27">
        <f t="shared" si="1"/>
        <v>0.45580000000000004</v>
      </c>
    </row>
    <row r="28" spans="1:7" x14ac:dyDescent="0.25">
      <c r="A28">
        <v>4</v>
      </c>
      <c r="B28">
        <v>0.42599999999999999</v>
      </c>
      <c r="C28">
        <f t="shared" si="1"/>
        <v>0.42180000000000001</v>
      </c>
    </row>
    <row r="29" spans="1:7" x14ac:dyDescent="0.25">
      <c r="A29">
        <v>5</v>
      </c>
      <c r="B29">
        <v>0.46200000000000002</v>
      </c>
      <c r="C29">
        <f t="shared" si="1"/>
        <v>0.45780000000000004</v>
      </c>
    </row>
    <row r="30" spans="1:7" x14ac:dyDescent="0.25">
      <c r="A30">
        <v>6</v>
      </c>
      <c r="B30">
        <v>0.46</v>
      </c>
      <c r="C30">
        <f t="shared" si="1"/>
        <v>0.45580000000000004</v>
      </c>
    </row>
    <row r="31" spans="1:7" x14ac:dyDescent="0.25">
      <c r="A31" t="s">
        <v>14</v>
      </c>
      <c r="B31">
        <f>AVERAGE(B25:B30)</f>
        <v>0.45483333333333337</v>
      </c>
      <c r="C31">
        <f>AVERAGE(C25:C30)</f>
        <v>0.45063333333333339</v>
      </c>
    </row>
    <row r="32" spans="1:7" x14ac:dyDescent="0.25">
      <c r="A32" t="s">
        <v>3</v>
      </c>
      <c r="B32">
        <f>_xlfn.STDEV.S(B25:B30)</f>
        <v>1.4148026953136151E-2</v>
      </c>
      <c r="C32">
        <f>_xlfn.STDEV.S(C25:C30)</f>
        <v>1.4148026953136151E-2</v>
      </c>
    </row>
    <row r="34" spans="1:3" ht="15.75" x14ac:dyDescent="0.25">
      <c r="A34" s="1" t="s">
        <v>15</v>
      </c>
    </row>
    <row r="35" spans="1:3" x14ac:dyDescent="0.25">
      <c r="A35" t="s">
        <v>16</v>
      </c>
    </row>
    <row r="36" spans="1:3" x14ac:dyDescent="0.25">
      <c r="B36" t="s">
        <v>17</v>
      </c>
      <c r="C36" t="s">
        <v>18</v>
      </c>
    </row>
    <row r="37" spans="1:3" x14ac:dyDescent="0.25">
      <c r="A37" t="s">
        <v>19</v>
      </c>
      <c r="B37">
        <f>INDEX(LINEST(G17:G21,B17:B21,TRUE,TRUE),1,1)</f>
        <v>893.5</v>
      </c>
      <c r="C37">
        <f>INDEX(LINEST(G17:G21,B17:B21,TRUE,TRUE),1,2)</f>
        <v>1.9366666666666643E-2</v>
      </c>
    </row>
    <row r="38" spans="1:3" x14ac:dyDescent="0.25">
      <c r="A38" t="s">
        <v>20</v>
      </c>
      <c r="B38">
        <f>INDEX(LINEST(G17:G21,B17:B21,TRUE,TRUE),2,1)</f>
        <v>32.125189147735412</v>
      </c>
      <c r="C38">
        <f>INDEX(LINEST(G17:G21,B17:B21,TRUE,TRUE),2,2)</f>
        <v>2.1309439744447104E-2</v>
      </c>
    </row>
    <row r="39" spans="1:3" x14ac:dyDescent="0.25">
      <c r="A39" t="s">
        <v>21</v>
      </c>
      <c r="B39">
        <f>INDEX(LINEST(G17:G21,B17:B21,TRUE,TRUE),3,1)</f>
        <v>0.99613684147043957</v>
      </c>
    </row>
    <row r="40" spans="1:3" x14ac:dyDescent="0.25">
      <c r="A40" t="s">
        <v>22</v>
      </c>
      <c r="B40">
        <f>INDEX(LINEST(G17:G21,B17:B21,TRUE,TRUE),3,2)</f>
        <v>2.0317753594113471E-2</v>
      </c>
    </row>
    <row r="42" spans="1:3" ht="15.75" x14ac:dyDescent="0.25">
      <c r="A42" s="1" t="s">
        <v>23</v>
      </c>
    </row>
    <row r="43" spans="1:3" x14ac:dyDescent="0.25">
      <c r="A43" t="s">
        <v>24</v>
      </c>
      <c r="B43" t="s">
        <v>25</v>
      </c>
      <c r="C43" t="s">
        <v>26</v>
      </c>
    </row>
    <row r="44" spans="1:3" x14ac:dyDescent="0.25">
      <c r="A44" t="s">
        <v>27</v>
      </c>
      <c r="B44">
        <f>B37</f>
        <v>893.5</v>
      </c>
      <c r="C44" t="s">
        <v>28</v>
      </c>
    </row>
    <row r="45" spans="1:3" x14ac:dyDescent="0.25">
      <c r="A45" t="s">
        <v>29</v>
      </c>
      <c r="B45">
        <f>C37</f>
        <v>1.9366666666666643E-2</v>
      </c>
    </row>
    <row r="46" spans="1:3" x14ac:dyDescent="0.25">
      <c r="A46" t="s">
        <v>30</v>
      </c>
      <c r="B46">
        <f>B38</f>
        <v>32.125189147735412</v>
      </c>
    </row>
    <row r="47" spans="1:3" x14ac:dyDescent="0.25">
      <c r="A47" t="s">
        <v>31</v>
      </c>
      <c r="B47">
        <f>C38</f>
        <v>2.1309439744447104E-2</v>
      </c>
    </row>
    <row r="48" spans="1:3" x14ac:dyDescent="0.25">
      <c r="A48" t="s">
        <v>21</v>
      </c>
      <c r="B48">
        <f>B39</f>
        <v>0.99613684147043957</v>
      </c>
    </row>
    <row r="50" spans="1:3" x14ac:dyDescent="0.25">
      <c r="A50" t="s">
        <v>32</v>
      </c>
    </row>
    <row r="51" spans="1:3" x14ac:dyDescent="0.25">
      <c r="A51" t="s">
        <v>33</v>
      </c>
      <c r="B51">
        <f>C31</f>
        <v>0.45063333333333339</v>
      </c>
    </row>
    <row r="52" spans="1:3" x14ac:dyDescent="0.25">
      <c r="A52" t="s">
        <v>34</v>
      </c>
      <c r="B52">
        <f>(B51-B45)/B44</f>
        <v>4.8267114344338749E-4</v>
      </c>
      <c r="C52" t="s">
        <v>35</v>
      </c>
    </row>
    <row r="54" spans="1:3" x14ac:dyDescent="0.25">
      <c r="A54" t="s">
        <v>36</v>
      </c>
    </row>
    <row r="55" spans="1:3" x14ac:dyDescent="0.25">
      <c r="A55" t="s">
        <v>37</v>
      </c>
      <c r="B55">
        <f>B44/1</f>
        <v>893.5</v>
      </c>
      <c r="C55" t="s">
        <v>38</v>
      </c>
    </row>
    <row r="56" spans="1:3" x14ac:dyDescent="0.25">
      <c r="A56" t="s">
        <v>39</v>
      </c>
      <c r="B56">
        <v>1020</v>
      </c>
      <c r="C56" t="s">
        <v>40</v>
      </c>
    </row>
    <row r="57" spans="1:3" x14ac:dyDescent="0.25">
      <c r="A57" t="s">
        <v>41</v>
      </c>
      <c r="B57">
        <f>ABS(B55-B56)</f>
        <v>126.5</v>
      </c>
      <c r="C57" t="s">
        <v>40</v>
      </c>
    </row>
    <row r="58" spans="1:3" x14ac:dyDescent="0.25">
      <c r="A58" t="s">
        <v>42</v>
      </c>
      <c r="B58">
        <f>(B57/B56)*100</f>
        <v>12.401960784313726</v>
      </c>
      <c r="C58" t="s">
        <v>43</v>
      </c>
    </row>
    <row r="60" spans="1:3" x14ac:dyDescent="0.25">
      <c r="A60" t="s">
        <v>44</v>
      </c>
    </row>
    <row r="61" spans="1:3" x14ac:dyDescent="0.25">
      <c r="A61" t="s">
        <v>45</v>
      </c>
      <c r="B61">
        <f>B13</f>
        <v>1.3838753958037952E-2</v>
      </c>
    </row>
    <row r="62" spans="1:3" x14ac:dyDescent="0.25">
      <c r="A62" t="s">
        <v>46</v>
      </c>
      <c r="B62">
        <f>(3*B61)/B44</f>
        <v>4.6464758672763129E-5</v>
      </c>
      <c r="C62" t="s">
        <v>35</v>
      </c>
    </row>
    <row r="63" spans="1:3" x14ac:dyDescent="0.25">
      <c r="A63" t="s">
        <v>47</v>
      </c>
      <c r="B63">
        <f>(10*B61)/B44</f>
        <v>1.5488252890921044E-4</v>
      </c>
      <c r="C63" t="s">
        <v>35</v>
      </c>
    </row>
    <row r="65" spans="1:2" ht="15.75" x14ac:dyDescent="0.25">
      <c r="A65" s="1" t="s">
        <v>48</v>
      </c>
    </row>
    <row r="66" spans="1:2" x14ac:dyDescent="0.25">
      <c r="A66" t="s">
        <v>49</v>
      </c>
    </row>
    <row r="67" spans="1:2" x14ac:dyDescent="0.25">
      <c r="A67" t="s">
        <v>27</v>
      </c>
      <c r="B67">
        <f>B44</f>
        <v>893.5</v>
      </c>
    </row>
    <row r="68" spans="1:2" x14ac:dyDescent="0.25">
      <c r="A68" t="s">
        <v>50</v>
      </c>
      <c r="B68">
        <f>B46</f>
        <v>32.125189147735412</v>
      </c>
    </row>
    <row r="69" spans="1:2" x14ac:dyDescent="0.25">
      <c r="A69" t="s">
        <v>29</v>
      </c>
      <c r="B69">
        <f>B45</f>
        <v>1.9366666666666643E-2</v>
      </c>
    </row>
    <row r="70" spans="1:2" x14ac:dyDescent="0.25">
      <c r="A70" t="s">
        <v>51</v>
      </c>
      <c r="B70">
        <f>B47</f>
        <v>2.1309439744447104E-2</v>
      </c>
    </row>
    <row r="71" spans="1:2" x14ac:dyDescent="0.25">
      <c r="A71" t="s">
        <v>52</v>
      </c>
      <c r="B71">
        <f>C31</f>
        <v>0.45063333333333339</v>
      </c>
    </row>
    <row r="72" spans="1:2" x14ac:dyDescent="0.25">
      <c r="A72" t="s">
        <v>53</v>
      </c>
      <c r="B72">
        <f>C32</f>
        <v>1.4148026953136151E-2</v>
      </c>
    </row>
    <row r="73" spans="1:2" x14ac:dyDescent="0.25">
      <c r="A73" t="s">
        <v>54</v>
      </c>
      <c r="B73">
        <v>5</v>
      </c>
    </row>
    <row r="75" spans="1:2" x14ac:dyDescent="0.25">
      <c r="A75" t="s">
        <v>55</v>
      </c>
    </row>
    <row r="76" spans="1:2" x14ac:dyDescent="0.25">
      <c r="A76" t="s">
        <v>56</v>
      </c>
      <c r="B76">
        <f>-(B71-B69)/(B67^2)</f>
        <v>-5.4020273468761891E-7</v>
      </c>
    </row>
    <row r="77" spans="1:2" x14ac:dyDescent="0.25">
      <c r="A77" t="s">
        <v>57</v>
      </c>
      <c r="B77">
        <f>-1/B67</f>
        <v>-1.1191941801902631E-3</v>
      </c>
    </row>
    <row r="78" spans="1:2" x14ac:dyDescent="0.25">
      <c r="A78" t="s">
        <v>58</v>
      </c>
      <c r="B78">
        <f>1/B67</f>
        <v>1.1191941801902631E-3</v>
      </c>
    </row>
    <row r="80" spans="1:2" x14ac:dyDescent="0.25">
      <c r="A80" t="s">
        <v>59</v>
      </c>
    </row>
    <row r="81" spans="1:3" x14ac:dyDescent="0.25">
      <c r="A81" t="s">
        <v>60</v>
      </c>
      <c r="B81">
        <f>SQRT((B76*B68)^2+(B77*B70)^2+(B78*B72/SQRT(B73))^2)</f>
        <v>3.0333229495379012E-5</v>
      </c>
      <c r="C81" t="s">
        <v>35</v>
      </c>
    </row>
    <row r="83" spans="1:3" x14ac:dyDescent="0.25">
      <c r="A83" t="s">
        <v>61</v>
      </c>
      <c r="B83">
        <f>(B81/B52)*100</f>
        <v>6.2844505845079173</v>
      </c>
      <c r="C83" t="s">
        <v>43</v>
      </c>
    </row>
    <row r="85" spans="1:3" x14ac:dyDescent="0.25">
      <c r="A85" t="s">
        <v>62</v>
      </c>
    </row>
    <row r="86" spans="1:3" x14ac:dyDescent="0.25">
      <c r="A86" t="s">
        <v>63</v>
      </c>
      <c r="B86">
        <v>2.7759999999999998</v>
      </c>
    </row>
    <row r="87" spans="1:3" x14ac:dyDescent="0.25">
      <c r="A87" t="s">
        <v>64</v>
      </c>
      <c r="B87">
        <f>B86*(C32/SQRT(6))</f>
        <v>1.6033920100143265E-2</v>
      </c>
      <c r="C87" t="s">
        <v>65</v>
      </c>
    </row>
    <row r="89" spans="1:3" x14ac:dyDescent="0.25">
      <c r="A89" t="s">
        <v>66</v>
      </c>
      <c r="B89">
        <f>B52</f>
        <v>4.8267114344338749E-4</v>
      </c>
      <c r="C89" t="s">
        <v>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4571B-1C1E-4DCF-B42D-8AA24F9DB64E}">
  <dimension ref="A1:Q54"/>
  <sheetViews>
    <sheetView topLeftCell="A16" workbookViewId="0">
      <selection activeCell="K29" sqref="K29"/>
    </sheetView>
  </sheetViews>
  <sheetFormatPr defaultRowHeight="15" x14ac:dyDescent="0.25"/>
  <cols>
    <col min="1" max="1" width="14.85546875" customWidth="1"/>
    <col min="2" max="2" width="25.7109375" customWidth="1"/>
    <col min="3" max="3" width="29.7109375" customWidth="1"/>
    <col min="4" max="4" width="23" customWidth="1"/>
    <col min="5" max="5" width="29.7109375" customWidth="1"/>
    <col min="6" max="6" width="28.7109375" customWidth="1"/>
    <col min="7" max="7" width="10.85546875" customWidth="1"/>
    <col min="9" max="9" width="12" customWidth="1"/>
    <col min="10" max="10" width="11.85546875" customWidth="1"/>
    <col min="12" max="12" width="20.85546875" customWidth="1"/>
    <col min="13" max="13" width="28.7109375" customWidth="1"/>
    <col min="14" max="14" width="28.28515625" customWidth="1"/>
    <col min="15" max="15" width="27.140625" customWidth="1"/>
    <col min="16" max="16" width="26.28515625" customWidth="1"/>
    <col min="22" max="22" width="11" customWidth="1"/>
    <col min="23" max="23" width="13.28515625" customWidth="1"/>
  </cols>
  <sheetData>
    <row r="1" spans="1:17" x14ac:dyDescent="0.25">
      <c r="B1" t="s">
        <v>68</v>
      </c>
      <c r="D1" t="s">
        <v>69</v>
      </c>
      <c r="E1" t="s">
        <v>69</v>
      </c>
      <c r="F1" t="s">
        <v>69</v>
      </c>
      <c r="G1" t="s">
        <v>69</v>
      </c>
      <c r="H1" t="s">
        <v>69</v>
      </c>
      <c r="L1" t="s">
        <v>103</v>
      </c>
    </row>
    <row r="2" spans="1:17" x14ac:dyDescent="0.25">
      <c r="B2">
        <v>2.7E-2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L2" t="s">
        <v>104</v>
      </c>
      <c r="M2" t="s">
        <v>105</v>
      </c>
      <c r="N2" t="s">
        <v>106</v>
      </c>
      <c r="O2" t="s">
        <v>107</v>
      </c>
      <c r="P2" t="s">
        <v>108</v>
      </c>
      <c r="Q2" t="s">
        <v>109</v>
      </c>
    </row>
    <row r="3" spans="1:17" x14ac:dyDescent="0.25">
      <c r="B3">
        <v>2.1999999999999999E-2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L3">
        <v>1</v>
      </c>
      <c r="M3">
        <f>D4-B11</f>
        <v>7.6000000000000012E-2</v>
      </c>
      <c r="N3">
        <f>E4-B11</f>
        <v>0.129</v>
      </c>
      <c r="O3">
        <f>F4-B11</f>
        <v>0.16200000000000001</v>
      </c>
      <c r="P3">
        <f>G4-B11</f>
        <v>0.21199999999999999</v>
      </c>
      <c r="Q3">
        <f>H4-B11</f>
        <v>0.29100000000000004</v>
      </c>
    </row>
    <row r="4" spans="1:17" x14ac:dyDescent="0.25">
      <c r="B4">
        <v>2.5000000000000001E-2</v>
      </c>
      <c r="D4">
        <v>0.112</v>
      </c>
      <c r="E4">
        <v>0.16500000000000001</v>
      </c>
      <c r="F4">
        <v>0.19800000000000001</v>
      </c>
      <c r="G4">
        <v>0.248</v>
      </c>
      <c r="H4">
        <v>0.32700000000000001</v>
      </c>
      <c r="L4">
        <v>2</v>
      </c>
      <c r="M4">
        <f>D5-B11</f>
        <v>7.3000000000000009E-2</v>
      </c>
      <c r="N4">
        <f>E5-B11</f>
        <v>0.11599999999999999</v>
      </c>
      <c r="O4">
        <f>F5-B11</f>
        <v>0.17599999999999999</v>
      </c>
      <c r="P4">
        <f>G5-B11</f>
        <v>0.20799999999999999</v>
      </c>
      <c r="Q4">
        <f>H5-B11</f>
        <v>0.28500000000000003</v>
      </c>
    </row>
    <row r="5" spans="1:17" x14ac:dyDescent="0.25">
      <c r="B5">
        <v>2.4E-2</v>
      </c>
      <c r="D5">
        <v>0.109</v>
      </c>
      <c r="E5">
        <v>0.152</v>
      </c>
      <c r="F5">
        <v>0.21199999999999999</v>
      </c>
      <c r="G5">
        <v>0.24399999999999999</v>
      </c>
      <c r="H5">
        <v>0.32100000000000001</v>
      </c>
      <c r="L5">
        <v>3</v>
      </c>
      <c r="M5">
        <f>D6-B11</f>
        <v>6.6000000000000003E-2</v>
      </c>
      <c r="N5">
        <f>E6-B11</f>
        <v>0.11299999999999999</v>
      </c>
      <c r="O5">
        <f>F6-B11</f>
        <v>0.16400000000000001</v>
      </c>
      <c r="P5">
        <f>G6-B11</f>
        <v>0.218</v>
      </c>
      <c r="Q5">
        <f>H6-B11</f>
        <v>0.28000000000000003</v>
      </c>
    </row>
    <row r="6" spans="1:17" x14ac:dyDescent="0.25">
      <c r="B6">
        <v>2.5999999999999999E-2</v>
      </c>
      <c r="D6">
        <v>0.10199999999999999</v>
      </c>
      <c r="E6">
        <v>0.14899999999999999</v>
      </c>
      <c r="F6">
        <v>0.2</v>
      </c>
      <c r="G6">
        <v>0.254</v>
      </c>
      <c r="H6">
        <v>0.316</v>
      </c>
    </row>
    <row r="7" spans="1:17" x14ac:dyDescent="0.25">
      <c r="B7">
        <v>2.1000000000000001E-2</v>
      </c>
      <c r="D7" t="s">
        <v>80</v>
      </c>
      <c r="E7" t="s">
        <v>81</v>
      </c>
      <c r="F7" t="s">
        <v>82</v>
      </c>
      <c r="G7" t="s">
        <v>83</v>
      </c>
      <c r="H7" t="s">
        <v>84</v>
      </c>
      <c r="L7" t="s">
        <v>114</v>
      </c>
    </row>
    <row r="8" spans="1:17" x14ac:dyDescent="0.25">
      <c r="B8">
        <v>2.1000000000000001E-2</v>
      </c>
      <c r="C8" t="s">
        <v>111</v>
      </c>
      <c r="D8">
        <f>AVERAGE(D4:D6)</f>
        <v>0.10766666666666667</v>
      </c>
      <c r="E8">
        <f>AVERAGE(E4:E6)</f>
        <v>0.15533333333333332</v>
      </c>
      <c r="F8">
        <f>AVERAGE(F4:F6)</f>
        <v>0.20333333333333337</v>
      </c>
      <c r="G8">
        <f>AVERAGE(G4:G6)</f>
        <v>0.24866666666666667</v>
      </c>
      <c r="H8">
        <f>AVERAGE(H4:H6)</f>
        <v>0.3213333333333333</v>
      </c>
      <c r="L8" t="s">
        <v>115</v>
      </c>
      <c r="M8" t="s">
        <v>116</v>
      </c>
      <c r="N8" t="s">
        <v>117</v>
      </c>
      <c r="O8" t="s">
        <v>118</v>
      </c>
      <c r="P8" t="s">
        <v>119</v>
      </c>
    </row>
    <row r="9" spans="1:17" x14ac:dyDescent="0.25">
      <c r="B9">
        <v>2.3E-2</v>
      </c>
      <c r="C9" t="s">
        <v>112</v>
      </c>
      <c r="D9">
        <f>D8-$B$12</f>
        <v>8.136666666666667E-2</v>
      </c>
      <c r="E9">
        <f>E8-$B$12</f>
        <v>0.12903333333333333</v>
      </c>
      <c r="F9">
        <f>F8-$B$12</f>
        <v>0.17703333333333338</v>
      </c>
      <c r="G9">
        <f>G8-$B$12</f>
        <v>0.22236666666666668</v>
      </c>
      <c r="H9">
        <f>H8-$B$12</f>
        <v>0.29503333333333331</v>
      </c>
      <c r="L9">
        <v>1</v>
      </c>
      <c r="M9">
        <v>10</v>
      </c>
      <c r="N9">
        <v>0</v>
      </c>
      <c r="O9">
        <v>40</v>
      </c>
      <c r="P9">
        <v>50</v>
      </c>
    </row>
    <row r="10" spans="1:17" x14ac:dyDescent="0.25">
      <c r="B10">
        <v>3.7999999999999999E-2</v>
      </c>
      <c r="L10">
        <v>2</v>
      </c>
      <c r="M10">
        <v>10</v>
      </c>
      <c r="N10">
        <v>5</v>
      </c>
      <c r="O10">
        <v>35</v>
      </c>
      <c r="P10">
        <v>50</v>
      </c>
    </row>
    <row r="11" spans="1:17" x14ac:dyDescent="0.25">
      <c r="B11">
        <v>3.5999999999999997E-2</v>
      </c>
      <c r="L11">
        <v>3</v>
      </c>
      <c r="M11">
        <v>10</v>
      </c>
      <c r="N11">
        <v>10</v>
      </c>
      <c r="O11">
        <v>30</v>
      </c>
      <c r="P11">
        <v>50</v>
      </c>
    </row>
    <row r="12" spans="1:17" x14ac:dyDescent="0.25">
      <c r="A12" t="s">
        <v>2</v>
      </c>
      <c r="B12">
        <f>AVERAGE(B2:B11)</f>
        <v>2.6299999999999997E-2</v>
      </c>
      <c r="D12" t="s">
        <v>94</v>
      </c>
      <c r="F12" t="s">
        <v>95</v>
      </c>
      <c r="L12">
        <v>4</v>
      </c>
      <c r="M12">
        <v>10</v>
      </c>
      <c r="N12">
        <v>15</v>
      </c>
      <c r="O12">
        <v>25</v>
      </c>
      <c r="P12">
        <v>50</v>
      </c>
    </row>
    <row r="13" spans="1:17" x14ac:dyDescent="0.25">
      <c r="A13" t="s">
        <v>113</v>
      </c>
      <c r="B13">
        <f>_xlfn.STDEV.P(B2:B11)</f>
        <v>5.6929781309961198E-3</v>
      </c>
      <c r="D13" t="s">
        <v>85</v>
      </c>
      <c r="L13">
        <v>5</v>
      </c>
      <c r="M13">
        <v>10</v>
      </c>
      <c r="N13">
        <v>20</v>
      </c>
      <c r="O13">
        <v>20</v>
      </c>
      <c r="P13">
        <v>50</v>
      </c>
    </row>
    <row r="14" spans="1:17" x14ac:dyDescent="0.25">
      <c r="D14" t="s">
        <v>96</v>
      </c>
    </row>
    <row r="16" spans="1:17" x14ac:dyDescent="0.25">
      <c r="C16" t="s">
        <v>86</v>
      </c>
      <c r="D16">
        <v>0</v>
      </c>
      <c r="E16">
        <v>5</v>
      </c>
      <c r="F16">
        <v>10</v>
      </c>
      <c r="G16">
        <v>15</v>
      </c>
      <c r="H16">
        <v>20</v>
      </c>
    </row>
    <row r="17" spans="1:15" x14ac:dyDescent="0.25">
      <c r="C17" t="s">
        <v>87</v>
      </c>
      <c r="D17">
        <f>D16/50*0.02</f>
        <v>0</v>
      </c>
      <c r="E17">
        <f>E16/50*0.02</f>
        <v>2E-3</v>
      </c>
      <c r="F17">
        <f>F16/50*0.02</f>
        <v>4.0000000000000001E-3</v>
      </c>
      <c r="G17">
        <f>G16/50*0.02</f>
        <v>6.0000000000000001E-3</v>
      </c>
      <c r="H17">
        <f>H16/50*0.02</f>
        <v>8.0000000000000002E-3</v>
      </c>
    </row>
    <row r="19" spans="1:15" ht="15.75" x14ac:dyDescent="0.25">
      <c r="A19" s="1" t="s">
        <v>97</v>
      </c>
    </row>
    <row r="20" spans="1:15" x14ac:dyDescent="0.25">
      <c r="D20" t="s">
        <v>87</v>
      </c>
      <c r="E20" t="s">
        <v>88</v>
      </c>
      <c r="H20" t="s">
        <v>99</v>
      </c>
      <c r="M20" s="4" t="s">
        <v>120</v>
      </c>
    </row>
    <row r="21" spans="1:15" x14ac:dyDescent="0.25">
      <c r="C21" t="s">
        <v>89</v>
      </c>
      <c r="D21">
        <f>D17</f>
        <v>0</v>
      </c>
      <c r="E21">
        <f>D9</f>
        <v>8.136666666666667E-2</v>
      </c>
      <c r="H21" t="s">
        <v>100</v>
      </c>
      <c r="I21" t="s">
        <v>101</v>
      </c>
      <c r="J21" t="s">
        <v>102</v>
      </c>
      <c r="L21" t="s">
        <v>17</v>
      </c>
      <c r="M21" cm="1">
        <f t="array" ref="M21:N25">(LINEST(J22:J36,I22:I36,TRUE,TRUE))</f>
        <v>1033.3333333333333</v>
      </c>
      <c r="N21">
        <v>0.33766666666666689</v>
      </c>
      <c r="O21" t="s">
        <v>125</v>
      </c>
    </row>
    <row r="22" spans="1:15" x14ac:dyDescent="0.25">
      <c r="C22" t="s">
        <v>90</v>
      </c>
      <c r="D22">
        <f>E17</f>
        <v>2E-3</v>
      </c>
      <c r="E22">
        <f>E9</f>
        <v>0.12903333333333333</v>
      </c>
      <c r="H22">
        <v>1</v>
      </c>
      <c r="I22">
        <v>0</v>
      </c>
      <c r="J22">
        <f>M3*(P9/M9)</f>
        <v>0.38000000000000006</v>
      </c>
      <c r="L22" t="s">
        <v>121</v>
      </c>
      <c r="M22">
        <v>32.191733291447562</v>
      </c>
      <c r="N22">
        <v>1.9713330124953143E-2</v>
      </c>
      <c r="O22" t="s">
        <v>126</v>
      </c>
    </row>
    <row r="23" spans="1:15" x14ac:dyDescent="0.25">
      <c r="C23" t="s">
        <v>91</v>
      </c>
      <c r="D23">
        <f>F17</f>
        <v>4.0000000000000001E-3</v>
      </c>
      <c r="E23">
        <f>F9</f>
        <v>0.17703333333333338</v>
      </c>
      <c r="H23">
        <v>1</v>
      </c>
      <c r="I23">
        <v>0</v>
      </c>
      <c r="J23">
        <f>M4*(P9/M9)</f>
        <v>0.36500000000000005</v>
      </c>
      <c r="L23" t="s">
        <v>122</v>
      </c>
      <c r="M23">
        <v>0.98754034426005799</v>
      </c>
      <c r="N23">
        <v>4.4080346222289651E-2</v>
      </c>
      <c r="O23" t="s">
        <v>127</v>
      </c>
    </row>
    <row r="24" spans="1:15" x14ac:dyDescent="0.25">
      <c r="C24" t="s">
        <v>92</v>
      </c>
      <c r="D24">
        <f>G17</f>
        <v>6.0000000000000001E-3</v>
      </c>
      <c r="E24">
        <f>G9</f>
        <v>0.22236666666666668</v>
      </c>
      <c r="H24">
        <v>1</v>
      </c>
      <c r="I24">
        <v>0</v>
      </c>
      <c r="J24">
        <f>M5*(P9/M9)</f>
        <v>0.33</v>
      </c>
      <c r="L24" t="s">
        <v>123</v>
      </c>
      <c r="M24">
        <v>1030.3675112166793</v>
      </c>
      <c r="N24">
        <v>13</v>
      </c>
      <c r="O24" t="s">
        <v>128</v>
      </c>
    </row>
    <row r="25" spans="1:15" x14ac:dyDescent="0.25">
      <c r="C25" t="s">
        <v>93</v>
      </c>
      <c r="D25">
        <f>H17</f>
        <v>8.0000000000000002E-3</v>
      </c>
      <c r="E25">
        <f>H9</f>
        <v>0.29503333333333331</v>
      </c>
      <c r="H25">
        <v>2</v>
      </c>
      <c r="I25">
        <v>2.5000000000000001E-4</v>
      </c>
      <c r="J25">
        <f>N3*(P10/M10)</f>
        <v>0.64500000000000002</v>
      </c>
      <c r="L25" t="s">
        <v>124</v>
      </c>
      <c r="M25">
        <v>2.0020833333333345</v>
      </c>
      <c r="N25">
        <v>2.5260000000000029E-2</v>
      </c>
      <c r="O25" t="s">
        <v>129</v>
      </c>
    </row>
    <row r="26" spans="1:15" ht="15.75" x14ac:dyDescent="0.25">
      <c r="A26" s="1"/>
      <c r="H26">
        <v>2</v>
      </c>
      <c r="I26">
        <v>2.5000000000000001E-4</v>
      </c>
      <c r="J26">
        <f>N4*(P10/M10)</f>
        <v>0.57999999999999996</v>
      </c>
    </row>
    <row r="27" spans="1:15" x14ac:dyDescent="0.25">
      <c r="C27" t="s">
        <v>130</v>
      </c>
      <c r="H27">
        <v>2</v>
      </c>
      <c r="I27">
        <v>2.5000000000000001E-4</v>
      </c>
      <c r="J27">
        <f>N5*(P10/M10)</f>
        <v>0.56499999999999995</v>
      </c>
    </row>
    <row r="28" spans="1:15" x14ac:dyDescent="0.25">
      <c r="A28" t="s">
        <v>131</v>
      </c>
      <c r="B28" t="s">
        <v>132</v>
      </c>
      <c r="C28" t="s">
        <v>133</v>
      </c>
      <c r="D28" t="s">
        <v>134</v>
      </c>
      <c r="E28" t="s">
        <v>135</v>
      </c>
      <c r="F28" t="s">
        <v>136</v>
      </c>
      <c r="H28">
        <v>3</v>
      </c>
      <c r="I28">
        <v>5.0000000000000001E-4</v>
      </c>
      <c r="J28">
        <f>O3*(P11/M11)</f>
        <v>0.81</v>
      </c>
    </row>
    <row r="29" spans="1:15" x14ac:dyDescent="0.25">
      <c r="A29">
        <f>-N21/M21</f>
        <v>-3.2677419354838733E-4</v>
      </c>
      <c r="B29">
        <f>-A29</f>
        <v>3.2677419354838733E-4</v>
      </c>
      <c r="C29">
        <f>(N23/M21)*SQRT((1/15)+(((J37)^2)/(M21)^2*I54))</f>
        <v>1.1014351407459738E-5</v>
      </c>
      <c r="D29">
        <f>(C29/B29)*100</f>
        <v>3.3706307367349613</v>
      </c>
      <c r="E29">
        <f>ABS(B29-0.0005)</f>
        <v>1.7322580645161268E-4</v>
      </c>
      <c r="F29">
        <f>(E29/0.0005)*100</f>
        <v>34.645161290322534</v>
      </c>
      <c r="H29">
        <v>3</v>
      </c>
      <c r="I29">
        <v>5.0000000000000001E-4</v>
      </c>
      <c r="J29">
        <f>O4*(P11/M11)</f>
        <v>0.87999999999999989</v>
      </c>
    </row>
    <row r="30" spans="1:15" x14ac:dyDescent="0.25">
      <c r="H30">
        <v>3</v>
      </c>
      <c r="I30">
        <v>5.0000000000000001E-4</v>
      </c>
      <c r="J30">
        <f>O5*(P11/M11)</f>
        <v>0.82000000000000006</v>
      </c>
    </row>
    <row r="31" spans="1:15" x14ac:dyDescent="0.25">
      <c r="H31">
        <v>4</v>
      </c>
      <c r="I31">
        <v>7.5000000000000002E-4</v>
      </c>
      <c r="J31">
        <f>P3*(P12/M12)</f>
        <v>1.06</v>
      </c>
    </row>
    <row r="32" spans="1:15" x14ac:dyDescent="0.25">
      <c r="H32">
        <v>4</v>
      </c>
      <c r="I32">
        <v>7.5000000000000002E-4</v>
      </c>
      <c r="J32">
        <f>P4*(P12/M12)</f>
        <v>1.04</v>
      </c>
    </row>
    <row r="33" spans="8:10" x14ac:dyDescent="0.25">
      <c r="H33">
        <v>4</v>
      </c>
      <c r="I33">
        <v>7.5000000000000002E-4</v>
      </c>
      <c r="J33">
        <f>P5*(P12/M12)</f>
        <v>1.0900000000000001</v>
      </c>
    </row>
    <row r="34" spans="8:10" x14ac:dyDescent="0.25">
      <c r="H34">
        <v>5</v>
      </c>
      <c r="I34">
        <v>1E-3</v>
      </c>
      <c r="J34">
        <f>J35</f>
        <v>1.4250000000000003</v>
      </c>
    </row>
    <row r="35" spans="8:10" x14ac:dyDescent="0.25">
      <c r="H35">
        <v>5</v>
      </c>
      <c r="I35">
        <v>1E-3</v>
      </c>
      <c r="J35">
        <f>Q4*(P13/M13)</f>
        <v>1.4250000000000003</v>
      </c>
    </row>
    <row r="36" spans="8:10" x14ac:dyDescent="0.25">
      <c r="H36">
        <v>5</v>
      </c>
      <c r="I36">
        <v>1E-3</v>
      </c>
      <c r="J36">
        <f>Q5*(P13/M13)</f>
        <v>1.4000000000000001</v>
      </c>
    </row>
    <row r="37" spans="8:10" x14ac:dyDescent="0.25">
      <c r="H37" t="s">
        <v>110</v>
      </c>
      <c r="I37">
        <f>AVERAGE(I22:I36)</f>
        <v>5.0000000000000001E-4</v>
      </c>
      <c r="J37">
        <f>AVERAGE(J22:J36)</f>
        <v>0.8543333333333335</v>
      </c>
    </row>
    <row r="39" spans="8:10" x14ac:dyDescent="0.25">
      <c r="I39">
        <f>(I37-I22)^2</f>
        <v>2.4999999999999999E-7</v>
      </c>
    </row>
    <row r="40" spans="8:10" x14ac:dyDescent="0.25">
      <c r="I40">
        <f>(I37-I23)^2</f>
        <v>2.4999999999999999E-7</v>
      </c>
    </row>
    <row r="41" spans="8:10" x14ac:dyDescent="0.25">
      <c r="I41">
        <f>(I37-I24)^2</f>
        <v>2.4999999999999999E-7</v>
      </c>
    </row>
    <row r="42" spans="8:10" x14ac:dyDescent="0.25">
      <c r="I42">
        <f>(I37-I25)^2</f>
        <v>6.2499999999999997E-8</v>
      </c>
    </row>
    <row r="43" spans="8:10" x14ac:dyDescent="0.25">
      <c r="I43">
        <f>(I37-I26)^2</f>
        <v>6.2499999999999997E-8</v>
      </c>
    </row>
    <row r="44" spans="8:10" x14ac:dyDescent="0.25">
      <c r="I44">
        <f>(I37-I27)^2</f>
        <v>6.2499999999999997E-8</v>
      </c>
    </row>
    <row r="45" spans="8:10" x14ac:dyDescent="0.25">
      <c r="I45">
        <f>(I37-I28)^2</f>
        <v>0</v>
      </c>
    </row>
    <row r="46" spans="8:10" x14ac:dyDescent="0.25">
      <c r="I46">
        <f>(I37-I29)^2</f>
        <v>0</v>
      </c>
    </row>
    <row r="47" spans="8:10" x14ac:dyDescent="0.25">
      <c r="I47">
        <f>(I37-I30)^2</f>
        <v>0</v>
      </c>
    </row>
    <row r="48" spans="8:10" x14ac:dyDescent="0.25">
      <c r="I48">
        <f>(I37-I31)^2</f>
        <v>6.2499999999999997E-8</v>
      </c>
    </row>
    <row r="49" spans="8:9" x14ac:dyDescent="0.25">
      <c r="I49">
        <f>(I37-I32)^2</f>
        <v>6.2499999999999997E-8</v>
      </c>
    </row>
    <row r="50" spans="8:9" x14ac:dyDescent="0.25">
      <c r="I50">
        <f>(I37-I33)^2</f>
        <v>6.2499999999999997E-8</v>
      </c>
    </row>
    <row r="51" spans="8:9" x14ac:dyDescent="0.25">
      <c r="I51">
        <f>(I37-I34)^2</f>
        <v>2.4999999999999999E-7</v>
      </c>
    </row>
    <row r="52" spans="8:9" x14ac:dyDescent="0.25">
      <c r="I52">
        <f>(I37-I35)^2</f>
        <v>2.4999999999999999E-7</v>
      </c>
    </row>
    <row r="53" spans="8:9" x14ac:dyDescent="0.25">
      <c r="I53">
        <f>(I37-I36)^2</f>
        <v>2.4999999999999999E-7</v>
      </c>
    </row>
    <row r="54" spans="8:9" x14ac:dyDescent="0.25">
      <c r="H54" t="s">
        <v>137</v>
      </c>
      <c r="I54">
        <f>SUM(I39:I53)</f>
        <v>1.875E-6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1</vt:lpstr>
      <vt:lpstr>Part2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Hoang</dc:creator>
  <cp:lastModifiedBy>Duy Hoang</cp:lastModifiedBy>
  <dcterms:created xsi:type="dcterms:W3CDTF">2025-10-16T17:30:57Z</dcterms:created>
  <dcterms:modified xsi:type="dcterms:W3CDTF">2025-10-17T15:27:11Z</dcterms:modified>
</cp:coreProperties>
</file>